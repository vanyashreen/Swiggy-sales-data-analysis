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HP\Desktop\BESANT\excel da course\"/>
    </mc:Choice>
  </mc:AlternateContent>
  <bookViews>
    <workbookView xWindow="0" yWindow="0" windowWidth="19200" windowHeight="7020" activeTab="2"/>
  </bookViews>
  <sheets>
    <sheet name="Data" sheetId="3" r:id="rId1"/>
    <sheet name="Analysis" sheetId="2" r:id="rId2"/>
    <sheet name="Dashboard" sheetId="1" r:id="rId3"/>
  </sheets>
  <definedNames>
    <definedName name="ExternalData_1" localSheetId="0">Data!$A$1:$M$201</definedName>
    <definedName name="Slicer_Cuisine_Type">#N/A</definedName>
    <definedName name="Slicer_Customer_Location">#N/A</definedName>
    <definedName name="Slicer_Date">#N/A</definedName>
    <definedName name="Slicer_Payment_Method">#N/A</definedName>
    <definedName name="Slicer_Restaurant_Name">#N/A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 i="2" l="1"/>
  <c r="A7" i="2"/>
  <c r="D7" i="2"/>
  <c r="C7" i="2"/>
</calcChain>
</file>

<file path=xl/connections.xml><?xml version="1.0" encoding="utf-8"?>
<connections xmlns="http://schemas.openxmlformats.org/spreadsheetml/2006/main">
  <connection id="1" keepAlive="1" name="Query - Sheet1" description="Connection to the 'Sheet1' query in the workbook." type="5" refreshedVersion="5" background="1" saveData="1">
    <dbPr connection="provider=Microsoft.Mashup.OleDb.1;data source=$EmbeddedMashup(aef95ffb-e039-4151-83d0-a68f9f37462d)$;location=Sheet1;extended properties=&quot;UEsDBBQAAgAIANiEfVu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DYhH1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2IR9W1uCB7veAQAA7QMAABMAHABGb3JtdWxhcy9TZWN0aW9uMS5tIKIYACigFAAAAAAAAAAAAAAAAAAAAAAAAAAAAH1Ty27bMBC8G/A/EOxFAgQBBooeGvhgSAlitG6Nym0PtmEw0sYiQpEBH40Fw5f8VX+nX9KlpMROrEQXUZzdmVkOZSC3XEmSte/RxXAwHJiSaShIVgLYERkTAXY4IPhkyukccOdyl4OIfyt9d6PUXXDFBcSJkhakNQFNPq9+GtBmdT1fpepBCsUKs0rUfU3ULcke+HZbbzImwGxSZlkwCuOdMDsaRkQ6ISJitYMw6jQbF5vmhcqthf1yaqEa0xak0Rcui+6Lrg9Lz7ru+j/QuVaVsjjQNbACbVGkWbAbtNwh3X5wKhWRZYdOhMhyJpg2Y+9rHT4TJyWTW+Rd1PdwJF1oJs2t0lWihKukB03Q4yLa7+l3jUsyTSnOjHXEws4eIvIE4BzwBBW4tryCBv4BxjKHQpZ8YxWctSeOGy6hdXYOGqsqpP+qcuZTf0P9FxMOSPDv8W+IFVNpP32MPWFTknKTK4f6b+BXXDJBJtV7NXNWV3hjyAxsqYozFykI/gd0TRY4NglmXDoLpoentZtZZp15wXI4ZjWVeCP98Tdn+hzWpCjamIJXcUaEdqcPLC+bLm8j9otgeYwHr8Mxnx65Gf4VZRtSr+hLX6h60nCiHTfbfrdX3E8bDgdcvqd/8R9QSwECLQAUAAIACADYhH1bkT/WPKsAAAD6AAAAEgAAAAAAAAAAAAAAAAAAAAAAQ29uZmlnL1BhY2thZ2UueG1sUEsBAi0AFAACAAgA2IR9Ww/K6aukAAAA6QAAABMAAAAAAAAAAAAAAAAA9wAAAFtDb250ZW50X1R5cGVzXS54bWxQSwECLQAUAAIACADYhH1bW4IHu94BAADtAwAAEwAAAAAAAAAAAAAAAADoAQAARm9ybXVsYXMvU2VjdGlvbjEubVBLBQYAAAAAAwADAMIAAAATBAAAAAA=&quot;" command="SELECT * FROM [Sheet1]"/>
  </connection>
</connections>
</file>

<file path=xl/sharedStrings.xml><?xml version="1.0" encoding="utf-8"?>
<sst xmlns="http://schemas.openxmlformats.org/spreadsheetml/2006/main" count="1466" uniqueCount="253">
  <si>
    <t>Grand Total</t>
  </si>
  <si>
    <t>Snacks</t>
  </si>
  <si>
    <t>Pune</t>
  </si>
  <si>
    <t>Pizza</t>
  </si>
  <si>
    <t>Mumbai</t>
  </si>
  <si>
    <t>Indian</t>
  </si>
  <si>
    <t>Hyderabad</t>
  </si>
  <si>
    <t>Chinese</t>
  </si>
  <si>
    <t>Delhi</t>
  </si>
  <si>
    <t>Cafe</t>
  </si>
  <si>
    <t>Chennai</t>
  </si>
  <si>
    <t>Burgers</t>
  </si>
  <si>
    <t>Bangalore</t>
  </si>
  <si>
    <t>Count of Order ID</t>
  </si>
  <si>
    <t>Row Labels</t>
  </si>
  <si>
    <t>Wallet</t>
  </si>
  <si>
    <t>UPI</t>
  </si>
  <si>
    <t>COD</t>
  </si>
  <si>
    <t>Subway</t>
  </si>
  <si>
    <t>Card</t>
  </si>
  <si>
    <t>Burger King</t>
  </si>
  <si>
    <t>KFC</t>
  </si>
  <si>
    <t>Biryani House</t>
  </si>
  <si>
    <t>Cafe Coffee Day</t>
  </si>
  <si>
    <t>Pizza Hut</t>
  </si>
  <si>
    <t>Sum of Final Amount (₹)</t>
  </si>
  <si>
    <t>Domino's</t>
  </si>
  <si>
    <t>Delivered</t>
  </si>
  <si>
    <t>McDonald's</t>
  </si>
  <si>
    <t>Cancelled</t>
  </si>
  <si>
    <t xml:space="preserve"> Avg delivery time</t>
  </si>
  <si>
    <t>Avg order value</t>
  </si>
  <si>
    <t>Total orders</t>
  </si>
  <si>
    <t>Total sales</t>
  </si>
  <si>
    <t>Average of Delivery Time (Minutes)</t>
  </si>
  <si>
    <t>Average of Order Value (₹)</t>
  </si>
  <si>
    <t>March</t>
  </si>
  <si>
    <t>ORD1199</t>
  </si>
  <si>
    <t>ORD1198</t>
  </si>
  <si>
    <t>ORD1197</t>
  </si>
  <si>
    <t>ORD1196</t>
  </si>
  <si>
    <t>ORD1195</t>
  </si>
  <si>
    <t>ORD1194</t>
  </si>
  <si>
    <t>ORD1193</t>
  </si>
  <si>
    <t>ORD1192</t>
  </si>
  <si>
    <t>ORD1191</t>
  </si>
  <si>
    <t>ORD1190</t>
  </si>
  <si>
    <t>ORD1189</t>
  </si>
  <si>
    <t>ORD1188</t>
  </si>
  <si>
    <t>ORD1187</t>
  </si>
  <si>
    <t>ORD1186</t>
  </si>
  <si>
    <t>ORD1185</t>
  </si>
  <si>
    <t>ORD1184</t>
  </si>
  <si>
    <t>ORD1183</t>
  </si>
  <si>
    <t>ORD1182</t>
  </si>
  <si>
    <t>ORD1181</t>
  </si>
  <si>
    <t>ORD1180</t>
  </si>
  <si>
    <t>ORD1179</t>
  </si>
  <si>
    <t>ORD1178</t>
  </si>
  <si>
    <t>ORD1177</t>
  </si>
  <si>
    <t>ORD1176</t>
  </si>
  <si>
    <t>ORD1175</t>
  </si>
  <si>
    <t>ORD1174</t>
  </si>
  <si>
    <t>ORD1173</t>
  </si>
  <si>
    <t>ORD1172</t>
  </si>
  <si>
    <t>ORD1171</t>
  </si>
  <si>
    <t>ORD1170</t>
  </si>
  <si>
    <t>ORD1169</t>
  </si>
  <si>
    <t>ORD1168</t>
  </si>
  <si>
    <t>ORD1167</t>
  </si>
  <si>
    <t>ORD1166</t>
  </si>
  <si>
    <t>ORD1165</t>
  </si>
  <si>
    <t>ORD1164</t>
  </si>
  <si>
    <t>ORD1163</t>
  </si>
  <si>
    <t>ORD1162</t>
  </si>
  <si>
    <t>ORD1161</t>
  </si>
  <si>
    <t>ORD1160</t>
  </si>
  <si>
    <t>ORD1159</t>
  </si>
  <si>
    <t>ORD1158</t>
  </si>
  <si>
    <t>ORD1157</t>
  </si>
  <si>
    <t>ORD1156</t>
  </si>
  <si>
    <t>ORD1155</t>
  </si>
  <si>
    <t>ORD1154</t>
  </si>
  <si>
    <t>ORD1153</t>
  </si>
  <si>
    <t>ORD1152</t>
  </si>
  <si>
    <t>ORD1151</t>
  </si>
  <si>
    <t>ORD1150</t>
  </si>
  <si>
    <t>ORD1149</t>
  </si>
  <si>
    <t>ORD1148</t>
  </si>
  <si>
    <t>ORD1147</t>
  </si>
  <si>
    <t>ORD1146</t>
  </si>
  <si>
    <t>ORD1145</t>
  </si>
  <si>
    <t>ORD1144</t>
  </si>
  <si>
    <t>ORD1143</t>
  </si>
  <si>
    <t>ORD1142</t>
  </si>
  <si>
    <t>ORD1141</t>
  </si>
  <si>
    <t>ORD1140</t>
  </si>
  <si>
    <t>ORD1139</t>
  </si>
  <si>
    <t>ORD1138</t>
  </si>
  <si>
    <t>ORD1137</t>
  </si>
  <si>
    <t>ORD1136</t>
  </si>
  <si>
    <t>ORD1135</t>
  </si>
  <si>
    <t>ORD1134</t>
  </si>
  <si>
    <t>ORD1133</t>
  </si>
  <si>
    <t>ORD1132</t>
  </si>
  <si>
    <t>February</t>
  </si>
  <si>
    <t>ORD1131</t>
  </si>
  <si>
    <t>ORD1130</t>
  </si>
  <si>
    <t>ORD1129</t>
  </si>
  <si>
    <t>ORD1128</t>
  </si>
  <si>
    <t>ORD1127</t>
  </si>
  <si>
    <t>ORD1126</t>
  </si>
  <si>
    <t>ORD1125</t>
  </si>
  <si>
    <t>ORD1124</t>
  </si>
  <si>
    <t>ORD1123</t>
  </si>
  <si>
    <t>ORD1122</t>
  </si>
  <si>
    <t>ORD1121</t>
  </si>
  <si>
    <t>ORD1120</t>
  </si>
  <si>
    <t>ORD1119</t>
  </si>
  <si>
    <t>ORD1118</t>
  </si>
  <si>
    <t>ORD1117</t>
  </si>
  <si>
    <t>ORD1116</t>
  </si>
  <si>
    <t>ORD1115</t>
  </si>
  <si>
    <t>ORD1114</t>
  </si>
  <si>
    <t>ORD1113</t>
  </si>
  <si>
    <t>ORD1112</t>
  </si>
  <si>
    <t>ORD1111</t>
  </si>
  <si>
    <t>ORD1110</t>
  </si>
  <si>
    <t>ORD1109</t>
  </si>
  <si>
    <t>ORD1108</t>
  </si>
  <si>
    <t>ORD1107</t>
  </si>
  <si>
    <t>ORD1106</t>
  </si>
  <si>
    <t>ORD1105</t>
  </si>
  <si>
    <t>ORD1104</t>
  </si>
  <si>
    <t>ORD1103</t>
  </si>
  <si>
    <t>ORD1102</t>
  </si>
  <si>
    <t>ORD1101</t>
  </si>
  <si>
    <t>ORD1100</t>
  </si>
  <si>
    <t>ORD1099</t>
  </si>
  <si>
    <t>ORD1098</t>
  </si>
  <si>
    <t>ORD1097</t>
  </si>
  <si>
    <t>ORD1096</t>
  </si>
  <si>
    <t>ORD1095</t>
  </si>
  <si>
    <t>ORD1094</t>
  </si>
  <si>
    <t>ORD1093</t>
  </si>
  <si>
    <t>ORD1092</t>
  </si>
  <si>
    <t>ORD1091</t>
  </si>
  <si>
    <t>ORD1090</t>
  </si>
  <si>
    <t>ORD1089</t>
  </si>
  <si>
    <t>ORD1088</t>
  </si>
  <si>
    <t>ORD1087</t>
  </si>
  <si>
    <t>ORD1086</t>
  </si>
  <si>
    <t>ORD1085</t>
  </si>
  <si>
    <t>ORD1084</t>
  </si>
  <si>
    <t>ORD1083</t>
  </si>
  <si>
    <t>ORD1082</t>
  </si>
  <si>
    <t>ORD1081</t>
  </si>
  <si>
    <t>ORD1080</t>
  </si>
  <si>
    <t>ORD1079</t>
  </si>
  <si>
    <t>ORD1078</t>
  </si>
  <si>
    <t>ORD1077</t>
  </si>
  <si>
    <t>ORD1076</t>
  </si>
  <si>
    <t>ORD1075</t>
  </si>
  <si>
    <t>ORD1074</t>
  </si>
  <si>
    <t>ORD1073</t>
  </si>
  <si>
    <t>ORD1072</t>
  </si>
  <si>
    <t>ORD1071</t>
  </si>
  <si>
    <t>ORD1070</t>
  </si>
  <si>
    <t>January</t>
  </si>
  <si>
    <t>ORD1069</t>
  </si>
  <si>
    <t>ORD1068</t>
  </si>
  <si>
    <t>ORD1067</t>
  </si>
  <si>
    <t>ORD1066</t>
  </si>
  <si>
    <t>ORD1065</t>
  </si>
  <si>
    <t>ORD1064</t>
  </si>
  <si>
    <t>ORD1063</t>
  </si>
  <si>
    <t>ORD1062</t>
  </si>
  <si>
    <t>ORD1061</t>
  </si>
  <si>
    <t>ORD1060</t>
  </si>
  <si>
    <t>ORD1059</t>
  </si>
  <si>
    <t>ORD1058</t>
  </si>
  <si>
    <t>ORD1057</t>
  </si>
  <si>
    <t>ORD1056</t>
  </si>
  <si>
    <t>ORD1055</t>
  </si>
  <si>
    <t>ORD1054</t>
  </si>
  <si>
    <t>ORD1053</t>
  </si>
  <si>
    <t>ORD1052</t>
  </si>
  <si>
    <t>ORD1051</t>
  </si>
  <si>
    <t>ORD1050</t>
  </si>
  <si>
    <t>ORD1049</t>
  </si>
  <si>
    <t>ORD1048</t>
  </si>
  <si>
    <t>ORD1047</t>
  </si>
  <si>
    <t>ORD1046</t>
  </si>
  <si>
    <t>ORD1045</t>
  </si>
  <si>
    <t>ORD1044</t>
  </si>
  <si>
    <t>ORD1043</t>
  </si>
  <si>
    <t>ORD1042</t>
  </si>
  <si>
    <t>ORD1041</t>
  </si>
  <si>
    <t>ORD1040</t>
  </si>
  <si>
    <t>ORD1039</t>
  </si>
  <si>
    <t>ORD1038</t>
  </si>
  <si>
    <t>ORD1037</t>
  </si>
  <si>
    <t>ORD1036</t>
  </si>
  <si>
    <t>ORD1035</t>
  </si>
  <si>
    <t>ORD1034</t>
  </si>
  <si>
    <t>ORD1033</t>
  </si>
  <si>
    <t>ORD1032</t>
  </si>
  <si>
    <t>ORD1031</t>
  </si>
  <si>
    <t>ORD1030</t>
  </si>
  <si>
    <t>ORD1029</t>
  </si>
  <si>
    <t>ORD1028</t>
  </si>
  <si>
    <t>ORD1027</t>
  </si>
  <si>
    <t>ORD1026</t>
  </si>
  <si>
    <t>ORD1025</t>
  </si>
  <si>
    <t>ORD1024</t>
  </si>
  <si>
    <t>ORD1023</t>
  </si>
  <si>
    <t>ORD1022</t>
  </si>
  <si>
    <t>ORD1021</t>
  </si>
  <si>
    <t>ORD1020</t>
  </si>
  <si>
    <t>ORD1019</t>
  </si>
  <si>
    <t>ORD1018</t>
  </si>
  <si>
    <t>ORD1017</t>
  </si>
  <si>
    <t>ORD1016</t>
  </si>
  <si>
    <t>ORD1015</t>
  </si>
  <si>
    <t>ORD1014</t>
  </si>
  <si>
    <t>ORD1013</t>
  </si>
  <si>
    <t>ORD1012</t>
  </si>
  <si>
    <t>ORD1011</t>
  </si>
  <si>
    <t>ORD1010</t>
  </si>
  <si>
    <t>ORD1009</t>
  </si>
  <si>
    <t>ORD1008</t>
  </si>
  <si>
    <t>ORD1007</t>
  </si>
  <si>
    <t>ORD1006</t>
  </si>
  <si>
    <t>ORD1005</t>
  </si>
  <si>
    <t>ORD1004</t>
  </si>
  <si>
    <t>ORD1003</t>
  </si>
  <si>
    <t>ORD1002</t>
  </si>
  <si>
    <t>ORD1001</t>
  </si>
  <si>
    <t>ORD1000</t>
  </si>
  <si>
    <t>Month Name</t>
  </si>
  <si>
    <t>Date</t>
  </si>
  <si>
    <t>Order Status</t>
  </si>
  <si>
    <t>Delivery Time (Minutes)</t>
  </si>
  <si>
    <t>Payment Method</t>
  </si>
  <si>
    <t>Final Amount (₹)</t>
  </si>
  <si>
    <t>Discount (₹)</t>
  </si>
  <si>
    <t>Order Value (₹)</t>
  </si>
  <si>
    <t>Customer Location</t>
  </si>
  <si>
    <t>Cuisine Type</t>
  </si>
  <si>
    <t>Restaurant Name</t>
  </si>
  <si>
    <t>Order Date</t>
  </si>
  <si>
    <t>Order ID</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</si>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</sst>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4B]#,##0"/>
  </numFmts>
  <fonts count="2">
    <font>
      <sz val="11"/>
      <color theme="1"/>
      <name val="Calibri"/>
      <family val="2"/>
      <scheme val="minor"/>
    </font>
    <font>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applyAlignment="1">
      <alignment horizontal="left"/>
    </xf>
    <xf numFmtId="0" fontId="0" fillId="0" borderId="0" xfId="0" applyAlignment="1">
      <alignment horizontal="left"/>
    </xf>
    <xf numFmtId="0" fontId="0" fillId="0" borderId="0" xfId="0" pivotButton="1"/>
    <xf numFmtId="164" fontId="0" fillId="0" borderId="0" xfId="0" applyNumberFormat="1"/>
    <xf numFmtId="0" fontId="0" fillId="0" borderId="0" xfId="0" applyNumberFormat="1" applyAlignment="1"/>
    <xf numFmtId="14" fontId="0" fillId="0" borderId="0" xfId="0" applyNumberFormat="1" applyAlignment="1"/>
    <xf numFmtId="22" fontId="0" fillId="0" borderId="0" xfId="0" applyNumberFormat="1" applyAlignment="1"/>
    <xf numFmtId="0" fontId="0" fillId="0" borderId="0" xfId="0" quotePrefix="1" applyNumberFormat="1" applyAlignment="1"/>
    <xf numFmtId="0" fontId="1" fillId="0" borderId="0" xfId="0" applyFont="1"/>
  </cellXfs>
  <cellStyles count="1">
    <cellStyle name="Normal" xfId="0" builtinId="0"/>
  </cellStyles>
  <dxfs count="15">
    <dxf>
      <numFmt numFmtId="0" formatCode="General"/>
      <alignment horizontal="general" vertical="bottom" textRotation="0" wrapText="0" indent="0" justifyLastLine="0" shrinkToFit="0" readingOrder="0"/>
    </dxf>
    <dxf>
      <numFmt numFmtId="19" formatCode="m/d/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27" formatCode="m/d/yyyy\ h:mm"/>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s>
  <tableStyles count="0" defaultTableStyle="TableStyleMedium2" defaultPivotStyle="PivotStyleLight16"/>
  <colors>
    <mruColors>
      <color rgb="FFFF8FFF"/>
      <color rgb="FF993366"/>
      <color rgb="FFD581FF"/>
      <color rgb="FFB66DFF"/>
      <color rgb="FF5C9CD6"/>
      <color rgb="FFFF71FF"/>
      <color rgb="FF25C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[PROJECT-1(Swiggy_sales_data).xlsx]Analysis!PivotTable7</c:name>
    <c:fmtId val="53"/>
  </c:pivotSource>
  <c:chart>
    <c:autoTitleDeleted val="1"/>
    <c:pivotFmts>
      <c:pivotFmt>
        <c:idx val="0"/>
        <c:spPr>
          <a:solidFill>
            <a:schemeClr val="accent1"/>
          </a:solidFill>
          <a:ln w="28575" cap="rnd">
            <a:solidFill>
              <a:schemeClr val="bg1"/>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a:glow rad="63500">
              <a:schemeClr val="bg1">
                <a:alpha val="40000"/>
              </a:schemeClr>
            </a:glow>
          </a:effectLst>
        </c:spPr>
        <c:marker>
          <c:symbol val="none"/>
        </c:marker>
      </c:pivotFmt>
      <c:pivotFmt>
        <c:idx val="2"/>
        <c:spPr>
          <a:ln w="28575" cap="rnd">
            <a:solidFill>
              <a:schemeClr val="bg1"/>
            </a:solidFill>
            <a:round/>
          </a:ln>
          <a:effectLst>
            <a:glow rad="139700">
              <a:schemeClr val="bg2">
                <a:alpha val="40000"/>
              </a:schemeClr>
            </a:glow>
          </a:effectLst>
        </c:spPr>
        <c:marker>
          <c:symbol val="none"/>
        </c:marker>
      </c:pivotFmt>
    </c:pivotFmts>
    <c:plotArea>
      <c:layout>
        <c:manualLayout>
          <c:layoutTarget val="inner"/>
          <c:xMode val="edge"/>
          <c:yMode val="edge"/>
          <c:x val="0.15765793189705057"/>
          <c:y val="0.19210447652376786"/>
          <c:w val="0.72438652394865255"/>
          <c:h val="0.48017279090113735"/>
        </c:manualLayout>
      </c:layout>
      <c:lineChart>
        <c:grouping val="stacked"/>
        <c:varyColors val="0"/>
        <c:ser>
          <c:idx val="0"/>
          <c:order val="0"/>
          <c:tx>
            <c:strRef>
              <c:f>Analysis!$B$11</c:f>
              <c:strCache>
                <c:ptCount val="1"/>
                <c:pt idx="0">
                  <c:v>Total</c:v>
                </c:pt>
              </c:strCache>
            </c:strRef>
          </c:tx>
          <c:spPr>
            <a:ln w="28575" cap="rnd">
              <a:solidFill>
                <a:schemeClr val="bg1"/>
              </a:solidFill>
              <a:round/>
            </a:ln>
            <a:effectLst>
              <a:glow rad="139700">
                <a:schemeClr val="bg2">
                  <a:alpha val="40000"/>
                </a:schemeClr>
              </a:glow>
            </a:effectLst>
          </c:spPr>
          <c:marker>
            <c:symbol val="none"/>
          </c:marker>
          <c:cat>
            <c:strRef>
              <c:f>Analysis!$A$12:$A$102</c:f>
              <c:strCache>
                <c:ptCount val="90"/>
                <c:pt idx="0">
                  <c:v>1/1/2023</c:v>
                </c:pt>
                <c:pt idx="1">
                  <c:v>1/2/2023</c:v>
                </c:pt>
                <c:pt idx="2">
                  <c:v>1/3/2023</c:v>
                </c:pt>
                <c:pt idx="3">
                  <c:v>1/4/2023</c:v>
                </c:pt>
                <c:pt idx="4">
                  <c:v>1/5/2023</c:v>
                </c:pt>
                <c:pt idx="5">
                  <c:v>1/6/2023</c:v>
                </c:pt>
                <c:pt idx="6">
                  <c:v>1/7/2023</c:v>
                </c:pt>
                <c:pt idx="7">
                  <c:v>1/8/2023</c:v>
                </c:pt>
                <c:pt idx="8">
                  <c:v>1/9/2023</c:v>
                </c:pt>
                <c:pt idx="9">
                  <c:v>1/10/2023</c:v>
                </c:pt>
                <c:pt idx="10">
                  <c:v>1/11/2023</c:v>
                </c:pt>
                <c:pt idx="11">
                  <c:v>1/12/2023</c:v>
                </c:pt>
                <c:pt idx="12">
                  <c:v>1/13/2023</c:v>
                </c:pt>
                <c:pt idx="13">
                  <c:v>1/14/2023</c:v>
                </c:pt>
                <c:pt idx="14">
                  <c:v>1/15/2023</c:v>
                </c:pt>
                <c:pt idx="15">
                  <c:v>1/16/2023</c:v>
                </c:pt>
                <c:pt idx="16">
                  <c:v>1/17/2023</c:v>
                </c:pt>
                <c:pt idx="17">
                  <c:v>1/18/2023</c:v>
                </c:pt>
                <c:pt idx="18">
                  <c:v>1/19/2023</c:v>
                </c:pt>
                <c:pt idx="19">
                  <c:v>1/20/2023</c:v>
                </c:pt>
                <c:pt idx="20">
                  <c:v>1/21/2023</c:v>
                </c:pt>
                <c:pt idx="21">
                  <c:v>1/22/2023</c:v>
                </c:pt>
                <c:pt idx="22">
                  <c:v>1/23/2023</c:v>
                </c:pt>
                <c:pt idx="23">
                  <c:v>1/24/2023</c:v>
                </c:pt>
                <c:pt idx="24">
                  <c:v>1/25/2023</c:v>
                </c:pt>
                <c:pt idx="25">
                  <c:v>1/26/2023</c:v>
                </c:pt>
                <c:pt idx="26">
                  <c:v>1/27/2023</c:v>
                </c:pt>
                <c:pt idx="27">
                  <c:v>1/28/2023</c:v>
                </c:pt>
                <c:pt idx="28">
                  <c:v>1/29/2023</c:v>
                </c:pt>
                <c:pt idx="29">
                  <c:v>1/30/2023</c:v>
                </c:pt>
                <c:pt idx="30">
                  <c:v>1/31/2023</c:v>
                </c:pt>
                <c:pt idx="31">
                  <c:v>2/1/2023</c:v>
                </c:pt>
                <c:pt idx="32">
                  <c:v>2/2/2023</c:v>
                </c:pt>
                <c:pt idx="33">
                  <c:v>2/3/2023</c:v>
                </c:pt>
                <c:pt idx="34">
                  <c:v>2/4/2023</c:v>
                </c:pt>
                <c:pt idx="35">
                  <c:v>2/5/2023</c:v>
                </c:pt>
                <c:pt idx="36">
                  <c:v>2/6/2023</c:v>
                </c:pt>
                <c:pt idx="37">
                  <c:v>2/7/2023</c:v>
                </c:pt>
                <c:pt idx="38">
                  <c:v>2/8/2023</c:v>
                </c:pt>
                <c:pt idx="39">
                  <c:v>2/9/2023</c:v>
                </c:pt>
                <c:pt idx="40">
                  <c:v>2/10/2023</c:v>
                </c:pt>
                <c:pt idx="41">
                  <c:v>2/11/2023</c:v>
                </c:pt>
                <c:pt idx="42">
                  <c:v>2/12/2023</c:v>
                </c:pt>
                <c:pt idx="43">
                  <c:v>2/13/2023</c:v>
                </c:pt>
                <c:pt idx="44">
                  <c:v>2/14/2023</c:v>
                </c:pt>
                <c:pt idx="45">
                  <c:v>2/15/2023</c:v>
                </c:pt>
                <c:pt idx="46">
                  <c:v>2/16/2023</c:v>
                </c:pt>
                <c:pt idx="47">
                  <c:v>2/17/2023</c:v>
                </c:pt>
                <c:pt idx="48">
                  <c:v>2/18/2023</c:v>
                </c:pt>
                <c:pt idx="49">
                  <c:v>2/19/2023</c:v>
                </c:pt>
                <c:pt idx="50">
                  <c:v>2/20/2023</c:v>
                </c:pt>
                <c:pt idx="51">
                  <c:v>2/21/2023</c:v>
                </c:pt>
                <c:pt idx="52">
                  <c:v>2/22/2023</c:v>
                </c:pt>
                <c:pt idx="53">
                  <c:v>2/23/2023</c:v>
                </c:pt>
                <c:pt idx="54">
                  <c:v>2/24/2023</c:v>
                </c:pt>
                <c:pt idx="55">
                  <c:v>2/25/2023</c:v>
                </c:pt>
                <c:pt idx="56">
                  <c:v>2/26/2023</c:v>
                </c:pt>
                <c:pt idx="57">
                  <c:v>2/27/2023</c:v>
                </c:pt>
                <c:pt idx="58">
                  <c:v>2/28/2023</c:v>
                </c:pt>
                <c:pt idx="59">
                  <c:v>3/1/2023</c:v>
                </c:pt>
                <c:pt idx="60">
                  <c:v>3/2/2023</c:v>
                </c:pt>
                <c:pt idx="61">
                  <c:v>3/3/2023</c:v>
                </c:pt>
                <c:pt idx="62">
                  <c:v>3/4/2023</c:v>
                </c:pt>
                <c:pt idx="63">
                  <c:v>3/5/2023</c:v>
                </c:pt>
                <c:pt idx="64">
                  <c:v>3/6/2023</c:v>
                </c:pt>
                <c:pt idx="65">
                  <c:v>3/7/2023</c:v>
                </c:pt>
                <c:pt idx="66">
                  <c:v>3/8/2023</c:v>
                </c:pt>
                <c:pt idx="67">
                  <c:v>3/9/2023</c:v>
                </c:pt>
                <c:pt idx="68">
                  <c:v>3/10/2023</c:v>
                </c:pt>
                <c:pt idx="69">
                  <c:v>3/11/2023</c:v>
                </c:pt>
                <c:pt idx="70">
                  <c:v>3/12/2023</c:v>
                </c:pt>
                <c:pt idx="71">
                  <c:v>3/13/2023</c:v>
                </c:pt>
                <c:pt idx="72">
                  <c:v>3/14/2023</c:v>
                </c:pt>
                <c:pt idx="73">
                  <c:v>3/15/2023</c:v>
                </c:pt>
                <c:pt idx="74">
                  <c:v>3/16/2023</c:v>
                </c:pt>
                <c:pt idx="75">
                  <c:v>3/17/2023</c:v>
                </c:pt>
                <c:pt idx="76">
                  <c:v>3/18/2023</c:v>
                </c:pt>
                <c:pt idx="77">
                  <c:v>3/19/2023</c:v>
                </c:pt>
                <c:pt idx="78">
                  <c:v>3/20/2023</c:v>
                </c:pt>
                <c:pt idx="79">
                  <c:v>3/21/2023</c:v>
                </c:pt>
                <c:pt idx="80">
                  <c:v>3/22/2023</c:v>
                </c:pt>
                <c:pt idx="81">
                  <c:v>3/23/2023</c:v>
                </c:pt>
                <c:pt idx="82">
                  <c:v>3/24/2023</c:v>
                </c:pt>
                <c:pt idx="83">
                  <c:v>3/25/2023</c:v>
                </c:pt>
                <c:pt idx="84">
                  <c:v>3/26/2023</c:v>
                </c:pt>
                <c:pt idx="85">
                  <c:v>3/27/2023</c:v>
                </c:pt>
                <c:pt idx="86">
                  <c:v>3/28/2023</c:v>
                </c:pt>
                <c:pt idx="87">
                  <c:v>3/29/2023</c:v>
                </c:pt>
                <c:pt idx="88">
                  <c:v>3/30/2023</c:v>
                </c:pt>
                <c:pt idx="89">
                  <c:v>3/31/2023</c:v>
                </c:pt>
              </c:strCache>
            </c:strRef>
          </c:cat>
          <c:val>
            <c:numRef>
              <c:f>Analysis!$B$12:$B$102</c:f>
              <c:numCache>
                <c:formatCode>General</c:formatCode>
                <c:ptCount val="90"/>
                <c:pt idx="0">
                  <c:v>3197</c:v>
                </c:pt>
                <c:pt idx="1">
                  <c:v>2286</c:v>
                </c:pt>
                <c:pt idx="2">
                  <c:v>1142</c:v>
                </c:pt>
                <c:pt idx="3">
                  <c:v>1560</c:v>
                </c:pt>
                <c:pt idx="4">
                  <c:v>1446</c:v>
                </c:pt>
                <c:pt idx="5">
                  <c:v>956</c:v>
                </c:pt>
                <c:pt idx="6">
                  <c:v>2236</c:v>
                </c:pt>
                <c:pt idx="7">
                  <c:v>1054</c:v>
                </c:pt>
                <c:pt idx="8">
                  <c:v>2460</c:v>
                </c:pt>
                <c:pt idx="9">
                  <c:v>1247</c:v>
                </c:pt>
                <c:pt idx="10">
                  <c:v>1842</c:v>
                </c:pt>
                <c:pt idx="11">
                  <c:v>513</c:v>
                </c:pt>
                <c:pt idx="12">
                  <c:v>2099</c:v>
                </c:pt>
                <c:pt idx="13">
                  <c:v>1725</c:v>
                </c:pt>
                <c:pt idx="14">
                  <c:v>1644</c:v>
                </c:pt>
                <c:pt idx="15">
                  <c:v>1093</c:v>
                </c:pt>
                <c:pt idx="16">
                  <c:v>2321</c:v>
                </c:pt>
                <c:pt idx="17">
                  <c:v>2119</c:v>
                </c:pt>
                <c:pt idx="18">
                  <c:v>1911</c:v>
                </c:pt>
                <c:pt idx="19">
                  <c:v>945</c:v>
                </c:pt>
                <c:pt idx="20">
                  <c:v>1284</c:v>
                </c:pt>
                <c:pt idx="21">
                  <c:v>1391</c:v>
                </c:pt>
                <c:pt idx="22">
                  <c:v>199</c:v>
                </c:pt>
                <c:pt idx="23">
                  <c:v>1265</c:v>
                </c:pt>
                <c:pt idx="24">
                  <c:v>1061</c:v>
                </c:pt>
                <c:pt idx="25">
                  <c:v>1990</c:v>
                </c:pt>
                <c:pt idx="26">
                  <c:v>218</c:v>
                </c:pt>
                <c:pt idx="27">
                  <c:v>2222</c:v>
                </c:pt>
                <c:pt idx="28">
                  <c:v>1628</c:v>
                </c:pt>
                <c:pt idx="29">
                  <c:v>2259</c:v>
                </c:pt>
                <c:pt idx="30">
                  <c:v>877</c:v>
                </c:pt>
                <c:pt idx="31">
                  <c:v>1188</c:v>
                </c:pt>
                <c:pt idx="32">
                  <c:v>883</c:v>
                </c:pt>
                <c:pt idx="33">
                  <c:v>2810</c:v>
                </c:pt>
                <c:pt idx="34">
                  <c:v>1462</c:v>
                </c:pt>
                <c:pt idx="35">
                  <c:v>1131</c:v>
                </c:pt>
                <c:pt idx="36">
                  <c:v>2190</c:v>
                </c:pt>
                <c:pt idx="37">
                  <c:v>917</c:v>
                </c:pt>
                <c:pt idx="38">
                  <c:v>1572</c:v>
                </c:pt>
                <c:pt idx="39">
                  <c:v>1526</c:v>
                </c:pt>
                <c:pt idx="40">
                  <c:v>1179</c:v>
                </c:pt>
                <c:pt idx="41">
                  <c:v>610</c:v>
                </c:pt>
                <c:pt idx="42">
                  <c:v>2935</c:v>
                </c:pt>
                <c:pt idx="43">
                  <c:v>1612</c:v>
                </c:pt>
                <c:pt idx="44">
                  <c:v>694</c:v>
                </c:pt>
                <c:pt idx="45">
                  <c:v>822</c:v>
                </c:pt>
                <c:pt idx="46">
                  <c:v>1182</c:v>
                </c:pt>
                <c:pt idx="47">
                  <c:v>1255</c:v>
                </c:pt>
                <c:pt idx="48">
                  <c:v>887</c:v>
                </c:pt>
                <c:pt idx="49">
                  <c:v>1848</c:v>
                </c:pt>
                <c:pt idx="50">
                  <c:v>1877</c:v>
                </c:pt>
                <c:pt idx="51">
                  <c:v>801</c:v>
                </c:pt>
                <c:pt idx="52">
                  <c:v>1288</c:v>
                </c:pt>
                <c:pt idx="53">
                  <c:v>1665</c:v>
                </c:pt>
                <c:pt idx="54">
                  <c:v>1699</c:v>
                </c:pt>
                <c:pt idx="55">
                  <c:v>2740</c:v>
                </c:pt>
                <c:pt idx="56">
                  <c:v>1285</c:v>
                </c:pt>
                <c:pt idx="57">
                  <c:v>1203</c:v>
                </c:pt>
                <c:pt idx="58">
                  <c:v>1166</c:v>
                </c:pt>
                <c:pt idx="59">
                  <c:v>2530</c:v>
                </c:pt>
                <c:pt idx="60">
                  <c:v>1880</c:v>
                </c:pt>
                <c:pt idx="61">
                  <c:v>1102</c:v>
                </c:pt>
                <c:pt idx="62">
                  <c:v>808</c:v>
                </c:pt>
                <c:pt idx="63">
                  <c:v>2314</c:v>
                </c:pt>
                <c:pt idx="64">
                  <c:v>1730</c:v>
                </c:pt>
                <c:pt idx="65">
                  <c:v>2434</c:v>
                </c:pt>
                <c:pt idx="66">
                  <c:v>1820</c:v>
                </c:pt>
                <c:pt idx="67">
                  <c:v>2398</c:v>
                </c:pt>
                <c:pt idx="68">
                  <c:v>1433</c:v>
                </c:pt>
                <c:pt idx="69">
                  <c:v>2194</c:v>
                </c:pt>
                <c:pt idx="70">
                  <c:v>1509</c:v>
                </c:pt>
                <c:pt idx="71">
                  <c:v>1935</c:v>
                </c:pt>
                <c:pt idx="72">
                  <c:v>2794</c:v>
                </c:pt>
                <c:pt idx="73">
                  <c:v>1509</c:v>
                </c:pt>
                <c:pt idx="74">
                  <c:v>1521</c:v>
                </c:pt>
                <c:pt idx="75">
                  <c:v>1836</c:v>
                </c:pt>
                <c:pt idx="76">
                  <c:v>3199</c:v>
                </c:pt>
                <c:pt idx="77">
                  <c:v>1066</c:v>
                </c:pt>
                <c:pt idx="78">
                  <c:v>2343</c:v>
                </c:pt>
                <c:pt idx="79">
                  <c:v>2113</c:v>
                </c:pt>
                <c:pt idx="80">
                  <c:v>890</c:v>
                </c:pt>
                <c:pt idx="81">
                  <c:v>701</c:v>
                </c:pt>
                <c:pt idx="82">
                  <c:v>2143</c:v>
                </c:pt>
                <c:pt idx="83">
                  <c:v>1314</c:v>
                </c:pt>
                <c:pt idx="84">
                  <c:v>2130</c:v>
                </c:pt>
                <c:pt idx="85">
                  <c:v>1068</c:v>
                </c:pt>
                <c:pt idx="86">
                  <c:v>1126</c:v>
                </c:pt>
                <c:pt idx="87">
                  <c:v>1352</c:v>
                </c:pt>
                <c:pt idx="88">
                  <c:v>542</c:v>
                </c:pt>
                <c:pt idx="89">
                  <c:v>830</c:v>
                </c:pt>
              </c:numCache>
            </c:numRef>
          </c:val>
          <c:smooth val="0"/>
        </c:ser>
        <c:dLbls>
          <c:showLegendKey val="0"/>
          <c:showVal val="0"/>
          <c:showCatName val="0"/>
          <c:showSerName val="0"/>
          <c:showPercent val="0"/>
          <c:showBubbleSize val="0"/>
        </c:dLbls>
        <c:smooth val="0"/>
        <c:axId val="294183096"/>
        <c:axId val="294180744"/>
      </c:lineChart>
      <c:catAx>
        <c:axId val="294183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294180744"/>
        <c:crosses val="autoZero"/>
        <c:auto val="1"/>
        <c:lblAlgn val="ctr"/>
        <c:lblOffset val="100"/>
        <c:noMultiLvlLbl val="0"/>
      </c:catAx>
      <c:valAx>
        <c:axId val="294180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294183096"/>
        <c:crosses val="autoZero"/>
        <c:crossBetween val="between"/>
      </c:valAx>
      <c:spPr>
        <a:noFill/>
        <a:ln>
          <a:noFill/>
        </a:ln>
        <a:effectLst/>
      </c:spPr>
    </c:plotArea>
    <c:legend>
      <c:legendPos val="r"/>
      <c:layout>
        <c:manualLayout>
          <c:xMode val="edge"/>
          <c:yMode val="edge"/>
          <c:x val="0.22461089238845142"/>
          <c:y val="2.7672061825605127E-2"/>
          <c:w val="0.13547118755471177"/>
          <c:h val="9.2804024496937879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zero"/>
    <c:showDLblsOverMax val="0"/>
  </c:chart>
  <c:spPr>
    <a:gradFill flip="none" rotWithShape="1">
      <a:gsLst>
        <a:gs pos="0">
          <a:schemeClr val="tx1">
            <a:lumMod val="75000"/>
            <a:lumOff val="25000"/>
            <a:shade val="30000"/>
            <a:satMod val="115000"/>
          </a:schemeClr>
        </a:gs>
        <a:gs pos="50000">
          <a:schemeClr val="tx1">
            <a:lumMod val="75000"/>
            <a:lumOff val="25000"/>
            <a:shade val="67500"/>
            <a:satMod val="115000"/>
          </a:schemeClr>
        </a:gs>
        <a:gs pos="100000">
          <a:schemeClr val="tx1">
            <a:lumMod val="75000"/>
            <a:lumOff val="25000"/>
            <a:shade val="100000"/>
            <a:satMod val="115000"/>
          </a:schemeClr>
        </a:gs>
      </a:gsLst>
      <a:lin ang="18900000" scaled="1"/>
      <a:tileRect/>
    </a:gradFill>
    <a:ln w="9525" cap="flat" cmpd="sng" algn="ctr">
      <a:solidFill>
        <a:schemeClr val="bg1"/>
      </a:solidFill>
      <a:round/>
    </a:ln>
    <a:effectLst>
      <a:glow rad="228600">
        <a:schemeClr val="accent3">
          <a:satMod val="175000"/>
          <a:alpha val="40000"/>
        </a:schemeClr>
      </a:glow>
    </a:effectLst>
  </c:spPr>
  <c:txPr>
    <a:bodyPr/>
    <a:lstStyle/>
    <a:p>
      <a:pPr>
        <a:defRPr sz="1100">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[PROJECT-1(Swiggy_sales_data).xlsx]Analysis!PivotTable8</c:name>
    <c:fmtId val="2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
          <c:y val="0.24613089099203597"/>
          <c:w val="0.76518549754794696"/>
          <c:h val="0.69169896839832534"/>
        </c:manualLayout>
      </c:layout>
      <c:doughnutChart>
        <c:varyColors val="1"/>
        <c:ser>
          <c:idx val="0"/>
          <c:order val="0"/>
          <c:tx>
            <c:strRef>
              <c:f>Analysis!$E$15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Analysis!$D$16:$D$20</c:f>
              <c:strCache>
                <c:ptCount val="4"/>
                <c:pt idx="0">
                  <c:v>COD</c:v>
                </c:pt>
                <c:pt idx="1">
                  <c:v>UPI</c:v>
                </c:pt>
                <c:pt idx="2">
                  <c:v>Card</c:v>
                </c:pt>
                <c:pt idx="3">
                  <c:v>Wallet</c:v>
                </c:pt>
              </c:strCache>
            </c:strRef>
          </c:cat>
          <c:val>
            <c:numRef>
              <c:f>Analysis!$E$16:$E$20</c:f>
              <c:numCache>
                <c:formatCode>General</c:formatCode>
                <c:ptCount val="4"/>
                <c:pt idx="0">
                  <c:v>52</c:v>
                </c:pt>
                <c:pt idx="1">
                  <c:v>47</c:v>
                </c:pt>
                <c:pt idx="2">
                  <c:v>44</c:v>
                </c:pt>
                <c:pt idx="3">
                  <c:v>57</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544786975566002"/>
          <c:y val="0.18345740591423054"/>
          <c:w val="0.25455213024434004"/>
          <c:h val="0.3941905101218045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pattFill prst="pct10">
      <a:fgClr>
        <a:schemeClr val="accent6">
          <a:lumMod val="75000"/>
        </a:schemeClr>
      </a:fgClr>
      <a:bgClr>
        <a:schemeClr val="accent6">
          <a:lumMod val="20000"/>
          <a:lumOff val="80000"/>
        </a:schemeClr>
      </a:bgClr>
    </a:pattFill>
    <a:ln w="9525" cap="flat" cmpd="sng" algn="ctr">
      <a:solidFill>
        <a:schemeClr val="dk1">
          <a:lumMod val="25000"/>
          <a:lumOff val="75000"/>
        </a:schemeClr>
      </a:solidFill>
      <a:round/>
    </a:ln>
    <a:effectLst/>
  </c:spPr>
  <c:txPr>
    <a:bodyPr/>
    <a:lstStyle/>
    <a:p>
      <a:pPr>
        <a:defRPr sz="16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[PROJECT-1(Swiggy_sales_data).xlsx]Analysis!PivotTable9</c:name>
    <c:fmtId val="19"/>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dLbl>
          <c:idx val="0"/>
          <c:layout>
            <c:manualLayout>
              <c:x val="0.25630425196850382"/>
              <c:y val="4.1249998375984314E-3"/>
            </c:manualLayout>
          </c:layout>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2950078740157474E-2"/>
                  <c:h val="8.2871246737352494E-2"/>
                </c:manualLayout>
              </c15:layout>
            </c:ext>
          </c:extLst>
        </c:dLbl>
      </c:pivotFmt>
      <c:pivotFmt>
        <c:idx val="4"/>
        <c:spPr>
          <a:solidFill>
            <a:schemeClr val="dk1">
              <a:tint val="88500"/>
            </a:schemeClr>
          </a:solidFill>
          <a:ln>
            <a:noFill/>
          </a:ln>
          <a:effectLst/>
        </c:spPr>
        <c:dLbl>
          <c:idx val="0"/>
          <c:layout>
            <c:manualLayout>
              <c:x val="0.23112913385826758"/>
              <c:y val="2.474999902559059E-2"/>
            </c:manualLayout>
          </c:layout>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2950078740157474E-2"/>
                  <c:h val="8.2871246737352494E-2"/>
                </c:manualLayout>
              </c15:layout>
            </c:ext>
          </c:extLst>
        </c:dLbl>
      </c:pivotFmt>
      <c:pivotFmt>
        <c:idx val="5"/>
        <c:spPr>
          <a:solidFill>
            <a:schemeClr val="dk1">
              <a:tint val="88500"/>
            </a:schemeClr>
          </a:solidFill>
          <a:ln>
            <a:noFill/>
          </a:ln>
          <a:effectLst/>
        </c:spPr>
        <c:dLbl>
          <c:idx val="0"/>
          <c:layout>
            <c:manualLayout>
              <c:x val="0.25198519685039372"/>
              <c:y val="2.8874998863189023E-2"/>
            </c:manualLayout>
          </c:layout>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2950078740157474E-2"/>
                  <c:h val="8.2871246737352494E-2"/>
                </c:manualLayout>
              </c15:layout>
            </c:ext>
          </c:extLst>
        </c:dLbl>
      </c:pivotFmt>
      <c:pivotFmt>
        <c:idx val="6"/>
        <c:spPr>
          <a:solidFill>
            <a:schemeClr val="dk1">
              <a:tint val="88500"/>
            </a:schemeClr>
          </a:solidFill>
          <a:ln>
            <a:noFill/>
          </a:ln>
          <a:effectLst/>
        </c:spPr>
        <c:dLbl>
          <c:idx val="0"/>
          <c:layout>
            <c:manualLayout>
              <c:x val="0.23626062992125985"/>
              <c:y val="1.2374999512795295E-2"/>
            </c:manualLayout>
          </c:layout>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2950078740157474E-2"/>
                  <c:h val="8.2871246737352494E-2"/>
                </c:manualLayout>
              </c15:layout>
            </c:ext>
          </c:extLst>
        </c:dLbl>
      </c:pivotFmt>
      <c:pivotFmt>
        <c:idx val="7"/>
        <c:spPr>
          <a:solidFill>
            <a:schemeClr val="dk1">
              <a:tint val="88500"/>
            </a:schemeClr>
          </a:solidFill>
          <a:ln>
            <a:noFill/>
          </a:ln>
          <a:effectLst/>
        </c:spPr>
        <c:dLbl>
          <c:idx val="0"/>
          <c:layout>
            <c:manualLayout>
              <c:x val="0.23266393700787402"/>
              <c:y val="4.1249998375984314E-3"/>
            </c:manualLayout>
          </c:layout>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2950078740157474E-2"/>
                  <c:h val="8.2871246737352494E-2"/>
                </c:manualLayout>
              </c15:layout>
            </c:ext>
          </c:extLst>
        </c:dLbl>
      </c:pivotFmt>
      <c:pivotFmt>
        <c:idx val="8"/>
        <c:spPr>
          <a:solidFill>
            <a:schemeClr val="dk1">
              <a:tint val="88500"/>
            </a:schemeClr>
          </a:solidFill>
          <a:ln>
            <a:noFill/>
          </a:ln>
          <a:effectLst/>
        </c:spPr>
        <c:dLbl>
          <c:idx val="0"/>
          <c:layout>
            <c:manualLayout>
              <c:x val="0.19936503937007874"/>
              <c:y val="1.2374999512795295E-2"/>
            </c:manualLayout>
          </c:layout>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2950078740157474E-2"/>
                  <c:h val="5.81212477117619E-2"/>
                </c:manualLayout>
              </c15:layout>
            </c:ext>
          </c:extLst>
        </c:dLbl>
      </c:pivotFmt>
      <c:pivotFmt>
        <c:idx val="9"/>
        <c:spPr>
          <a:solidFill>
            <a:schemeClr val="dk1">
              <a:tint val="88500"/>
            </a:schemeClr>
          </a:solidFill>
          <a:ln>
            <a:noFill/>
          </a:ln>
          <a:effectLst/>
        </c:spPr>
        <c:dLbl>
          <c:idx val="0"/>
          <c:layout>
            <c:manualLayout>
              <c:x val="0.19182976377952757"/>
              <c:y val="-3.781206170315553E-17"/>
            </c:manualLayout>
          </c:layout>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2950078740157474E-2"/>
                  <c:h val="8.2871246737352494E-2"/>
                </c:manualLayout>
              </c15:layout>
            </c:ext>
          </c:extLst>
        </c:dLbl>
      </c:pivotFmt>
      <c:pivotFmt>
        <c:idx val="10"/>
        <c:spPr>
          <a:solidFill>
            <a:schemeClr val="dk1">
              <a:tint val="88500"/>
            </a:schemeClr>
          </a:solidFill>
          <a:ln>
            <a:noFill/>
          </a:ln>
          <a:effectLst/>
        </c:spPr>
        <c:dLbl>
          <c:idx val="0"/>
          <c:layout>
            <c:manualLayout>
              <c:x val="0.1751903937007874"/>
              <c:y val="4.1249998375984314E-3"/>
            </c:manualLayout>
          </c:layout>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2950078740157474E-2"/>
                  <c:h val="8.2871246737352494E-2"/>
                </c:manualLayout>
              </c15:layout>
            </c:ext>
          </c:extLst>
        </c:dLbl>
      </c:pivotFmt>
    </c:pivotFmts>
    <c:plotArea>
      <c:layout>
        <c:manualLayout>
          <c:layoutTarget val="inner"/>
          <c:xMode val="edge"/>
          <c:yMode val="edge"/>
          <c:x val="0.37156905430476278"/>
          <c:y val="5.8879703449145969E-2"/>
          <c:w val="0.57183492886424847"/>
          <c:h val="0.80796950380601629"/>
        </c:manualLayout>
      </c:layout>
      <c:barChart>
        <c:barDir val="bar"/>
        <c:grouping val="stacked"/>
        <c:varyColors val="0"/>
        <c:ser>
          <c:idx val="0"/>
          <c:order val="0"/>
          <c:tx>
            <c:strRef>
              <c:f>Analysis!$G$8</c:f>
              <c:strCache>
                <c:ptCount val="1"/>
                <c:pt idx="0">
                  <c:v>Total</c:v>
                </c:pt>
              </c:strCache>
            </c:strRef>
          </c:tx>
          <c:spPr>
            <a:solidFill>
              <a:schemeClr val="dk1">
                <a:tint val="88500"/>
              </a:schemeClr>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Lbls>
            <c:dLbl>
              <c:idx val="0"/>
              <c:layout>
                <c:manualLayout>
                  <c:x val="0.25630425196850382"/>
                  <c:y val="4.1249998375984314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8.2950078740157474E-2"/>
                      <c:h val="8.2871246737352494E-2"/>
                    </c:manualLayout>
                  </c15:layout>
                </c:ext>
              </c:extLst>
            </c:dLbl>
            <c:dLbl>
              <c:idx val="1"/>
              <c:layout>
                <c:manualLayout>
                  <c:x val="0.23112913385826758"/>
                  <c:y val="2.474999902559059E-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8.2950078740157474E-2"/>
                      <c:h val="8.2871246737352494E-2"/>
                    </c:manualLayout>
                  </c15:layout>
                </c:ext>
              </c:extLst>
            </c:dLbl>
            <c:dLbl>
              <c:idx val="2"/>
              <c:layout>
                <c:manualLayout>
                  <c:x val="0.25198519685039372"/>
                  <c:y val="2.8874998863189023E-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8.2950078740157474E-2"/>
                      <c:h val="8.2871246737352494E-2"/>
                    </c:manualLayout>
                  </c15:layout>
                </c:ext>
              </c:extLst>
            </c:dLbl>
            <c:dLbl>
              <c:idx val="3"/>
              <c:layout>
                <c:manualLayout>
                  <c:x val="0.23626062992125985"/>
                  <c:y val="1.2374999512795295E-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8.2950078740157474E-2"/>
                      <c:h val="8.2871246737352494E-2"/>
                    </c:manualLayout>
                  </c15:layout>
                </c:ext>
              </c:extLst>
            </c:dLbl>
            <c:dLbl>
              <c:idx val="4"/>
              <c:layout>
                <c:manualLayout>
                  <c:x val="0.23266393700787402"/>
                  <c:y val="4.1249998375984314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8.2950078740157474E-2"/>
                      <c:h val="8.2871246737352494E-2"/>
                    </c:manualLayout>
                  </c15:layout>
                </c:ext>
              </c:extLst>
            </c:dLbl>
            <c:dLbl>
              <c:idx val="5"/>
              <c:layout>
                <c:manualLayout>
                  <c:x val="0.19936503937007874"/>
                  <c:y val="1.2374999512795295E-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8.2950078740157474E-2"/>
                      <c:h val="5.81212477117619E-2"/>
                    </c:manualLayout>
                  </c15:layout>
                </c:ext>
              </c:extLst>
            </c:dLbl>
            <c:dLbl>
              <c:idx val="6"/>
              <c:layout>
                <c:manualLayout>
                  <c:x val="0.19182976377952757"/>
                  <c:y val="-3.781206170315553E-1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8.2950078740157474E-2"/>
                      <c:h val="8.2871246737352494E-2"/>
                    </c:manualLayout>
                  </c15:layout>
                </c:ext>
              </c:extLst>
            </c:dLbl>
            <c:dLbl>
              <c:idx val="7"/>
              <c:layout>
                <c:manualLayout>
                  <c:x val="0.1751903937007874"/>
                  <c:y val="4.1249998375984314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8.2950078740157474E-2"/>
                      <c:h val="8.2871246737352494E-2"/>
                    </c:manualLayout>
                  </c15:layout>
                </c:ext>
              </c:extLst>
            </c:dLbl>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Analysis!$F$9:$F$17</c:f>
              <c:strCache>
                <c:ptCount val="8"/>
                <c:pt idx="0">
                  <c:v>McDonald's</c:v>
                </c:pt>
                <c:pt idx="1">
                  <c:v>Domino's</c:v>
                </c:pt>
                <c:pt idx="2">
                  <c:v>Pizza Hut</c:v>
                </c:pt>
                <c:pt idx="3">
                  <c:v>Cafe Coffee Day</c:v>
                </c:pt>
                <c:pt idx="4">
                  <c:v>Biryani House</c:v>
                </c:pt>
                <c:pt idx="5">
                  <c:v>KFC</c:v>
                </c:pt>
                <c:pt idx="6">
                  <c:v>Burger King</c:v>
                </c:pt>
                <c:pt idx="7">
                  <c:v>Subway</c:v>
                </c:pt>
              </c:strCache>
            </c:strRef>
          </c:cat>
          <c:val>
            <c:numRef>
              <c:f>Analysis!$G$9:$G$17</c:f>
              <c:numCache>
                <c:formatCode>General</c:formatCode>
                <c:ptCount val="8"/>
                <c:pt idx="0">
                  <c:v>21218</c:v>
                </c:pt>
                <c:pt idx="1">
                  <c:v>21098</c:v>
                </c:pt>
                <c:pt idx="2">
                  <c:v>19960</c:v>
                </c:pt>
                <c:pt idx="3">
                  <c:v>18150</c:v>
                </c:pt>
                <c:pt idx="4">
                  <c:v>17170</c:v>
                </c:pt>
                <c:pt idx="5">
                  <c:v>14995</c:v>
                </c:pt>
                <c:pt idx="6">
                  <c:v>14634</c:v>
                </c:pt>
                <c:pt idx="7">
                  <c:v>13956</c:v>
                </c:pt>
              </c:numCache>
            </c:numRef>
          </c:val>
        </c:ser>
        <c:dLbls>
          <c:dLblPos val="ctr"/>
          <c:showLegendKey val="0"/>
          <c:showVal val="1"/>
          <c:showCatName val="0"/>
          <c:showSerName val="0"/>
          <c:showPercent val="0"/>
          <c:showBubbleSize val="0"/>
        </c:dLbls>
        <c:gapWidth val="150"/>
        <c:overlap val="100"/>
        <c:axId val="294181136"/>
        <c:axId val="294183880"/>
      </c:barChart>
      <c:catAx>
        <c:axId val="29418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294183880"/>
        <c:crosses val="autoZero"/>
        <c:auto val="1"/>
        <c:lblAlgn val="ctr"/>
        <c:lblOffset val="100"/>
        <c:noMultiLvlLbl val="0"/>
      </c:catAx>
      <c:valAx>
        <c:axId val="294183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294181136"/>
        <c:crosses val="autoZero"/>
        <c:crossBetween val="between"/>
      </c:valAx>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lin ang="2700000" scaled="1"/>
          <a:tileRect/>
        </a:gradFill>
        <a:ln>
          <a:noFill/>
        </a:ln>
        <a:effectLst/>
      </c:spPr>
    </c:plotArea>
    <c:legend>
      <c:legendPos val="r"/>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legend>
    <c:plotVisOnly val="1"/>
    <c:dispBlanksAs val="gap"/>
    <c:showDLblsOverMax val="0"/>
  </c:chart>
  <c:spPr>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8900000" scaled="1"/>
      <a:tileRect/>
    </a:gradFill>
    <a:ln w="9525" cap="flat" cmpd="sng" algn="ctr">
      <a:solidFill>
        <a:schemeClr val="tx1">
          <a:lumMod val="15000"/>
          <a:lumOff val="85000"/>
        </a:schemeClr>
      </a:solidFill>
      <a:round/>
    </a:ln>
    <a:effectLst/>
  </c:spPr>
  <c:txPr>
    <a:bodyPr/>
    <a:lstStyle/>
    <a:p>
      <a:pPr>
        <a:defRPr sz="1800"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[PROJECT-1(Swiggy_sales_data).xlsx]Analysis!PivotTable12</c:name>
    <c:fmtId val="17"/>
  </c:pivotSource>
  <c:chart>
    <c:autoTitleDeleted val="1"/>
    <c:pivotFmts>
      <c:pivotFmt>
        <c:idx val="0"/>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27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2700000" scaled="1"/>
            <a:tileRect/>
          </a:gradFill>
          <a:ln>
            <a:noFill/>
          </a:ln>
          <a:effectLst/>
        </c:spPr>
        <c:dLbl>
          <c:idx val="0"/>
          <c:layout>
            <c:manualLayout>
              <c:x val="-5.0925337632079971E-17"/>
              <c:y val="0.19907407407407407"/>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2700000" scaled="1"/>
            <a:tileRect/>
          </a:gradFill>
          <a:ln>
            <a:noFill/>
          </a:ln>
          <a:effectLst/>
        </c:spPr>
        <c:dLbl>
          <c:idx val="0"/>
          <c:layout>
            <c:manualLayout>
              <c:x val="2.7777777777777779E-3"/>
              <c:y val="0.16666666666666666"/>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27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2700000" scaled="1"/>
            <a:tileRect/>
          </a:gradFill>
          <a:ln>
            <a:noFill/>
          </a:ln>
          <a:effectLst/>
        </c:spPr>
        <c:dLbl>
          <c:idx val="0"/>
          <c:layout>
            <c:manualLayout>
              <c:x val="-5.0925337632079971E-17"/>
              <c:y val="0.19907407407407407"/>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2700000" scaled="1"/>
            <a:tileRect/>
          </a:gradFill>
          <a:ln>
            <a:noFill/>
          </a:ln>
          <a:effectLst/>
        </c:spPr>
        <c:dLbl>
          <c:idx val="0"/>
          <c:layout>
            <c:manualLayout>
              <c:x val="2.7777777777777779E-3"/>
              <c:y val="0.16666666666666666"/>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27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2700000" scaled="1"/>
            <a:tileRect/>
          </a:gradFill>
          <a:ln>
            <a:noFill/>
          </a:ln>
          <a:effectLst/>
        </c:spPr>
        <c:dLbl>
          <c:idx val="0"/>
          <c:layout>
            <c:manualLayout>
              <c:x val="-5.0925337632079971E-17"/>
              <c:y val="0.19907407407407407"/>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2700000" scaled="1"/>
            <a:tileRect/>
          </a:gradFill>
          <a:ln>
            <a:noFill/>
          </a:ln>
          <a:effectLst/>
        </c:spPr>
        <c:dLbl>
          <c:idx val="0"/>
          <c:layout>
            <c:manualLayout>
              <c:x val="2.7777777777777779E-3"/>
              <c:y val="0.16666666666666666"/>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3993942536191908"/>
          <c:y val="0.1408674916284936"/>
          <c:w val="0.77378937007874016"/>
          <c:h val="0.75112350539515893"/>
        </c:manualLayout>
      </c:layout>
      <c:barChart>
        <c:barDir val="col"/>
        <c:grouping val="clustered"/>
        <c:varyColors val="0"/>
        <c:ser>
          <c:idx val="0"/>
          <c:order val="0"/>
          <c:tx>
            <c:strRef>
              <c:f>Analysis!$P$7</c:f>
              <c:strCache>
                <c:ptCount val="1"/>
                <c:pt idx="0">
                  <c:v>Total</c:v>
                </c:pt>
              </c:strCache>
            </c:strRef>
          </c:tx>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2700000" scaled="1"/>
              <a:tileRect/>
            </a:gradFill>
            <a:ln>
              <a:noFill/>
            </a:ln>
            <a:effectLst/>
          </c:spPr>
          <c:invertIfNegative val="0"/>
          <c:dPt>
            <c:idx val="0"/>
            <c:invertIfNegative val="0"/>
            <c:bubble3D val="0"/>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2700000" scaled="1"/>
                <a:tileRect/>
              </a:gradFill>
              <a:ln>
                <a:noFill/>
              </a:ln>
              <a:effectLst/>
            </c:spPr>
          </c:dPt>
          <c:dPt>
            <c:idx val="1"/>
            <c:invertIfNegative val="0"/>
            <c:bubble3D val="0"/>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2700000" scaled="1"/>
                <a:tileRect/>
              </a:gradFill>
              <a:ln>
                <a:noFill/>
              </a:ln>
              <a:effectLst/>
            </c:spPr>
          </c:dPt>
          <c:dLbls>
            <c:dLbl>
              <c:idx val="0"/>
              <c:layout>
                <c:manualLayout>
                  <c:x val="-5.0925337632079971E-17"/>
                  <c:y val="0.19907407407407407"/>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2.7777777777777779E-3"/>
                  <c:y val="0.16666666666666666"/>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Analysis!$O$8:$O$10</c:f>
              <c:strCache>
                <c:ptCount val="2"/>
                <c:pt idx="0">
                  <c:v>Cancelled</c:v>
                </c:pt>
                <c:pt idx="1">
                  <c:v>Delivered</c:v>
                </c:pt>
              </c:strCache>
            </c:strRef>
          </c:cat>
          <c:val>
            <c:numRef>
              <c:f>Analysis!$P$8:$P$10</c:f>
              <c:numCache>
                <c:formatCode>General</c:formatCode>
                <c:ptCount val="2"/>
                <c:pt idx="0">
                  <c:v>112</c:v>
                </c:pt>
                <c:pt idx="1">
                  <c:v>88</c:v>
                </c:pt>
              </c:numCache>
            </c:numRef>
          </c:val>
        </c:ser>
        <c:dLbls>
          <c:dLblPos val="outEnd"/>
          <c:showLegendKey val="0"/>
          <c:showVal val="1"/>
          <c:showCatName val="0"/>
          <c:showSerName val="0"/>
          <c:showPercent val="0"/>
          <c:showBubbleSize val="0"/>
        </c:dLbls>
        <c:gapWidth val="219"/>
        <c:overlap val="-27"/>
        <c:axId val="240076840"/>
        <c:axId val="240070568"/>
      </c:barChart>
      <c:catAx>
        <c:axId val="240076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240070568"/>
        <c:crosses val="autoZero"/>
        <c:auto val="1"/>
        <c:lblAlgn val="ctr"/>
        <c:lblOffset val="100"/>
        <c:noMultiLvlLbl val="0"/>
      </c:catAx>
      <c:valAx>
        <c:axId val="240070568"/>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240076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lumMod val="60000"/>
        <a:lumOff val="40000"/>
      </a:schemeClr>
    </a:solidFill>
    <a:ln w="9525" cap="flat" cmpd="sng" algn="ctr">
      <a:solidFill>
        <a:schemeClr val="tx1">
          <a:lumMod val="15000"/>
          <a:lumOff val="85000"/>
        </a:schemeClr>
      </a:solidFill>
      <a:round/>
    </a:ln>
    <a:effectLst>
      <a:glow rad="101600">
        <a:schemeClr val="accent4">
          <a:satMod val="175000"/>
          <a:alpha val="40000"/>
        </a:schemeClr>
      </a:glow>
    </a:effectLst>
  </c:spPr>
  <c:txPr>
    <a:bodyPr/>
    <a:lstStyle/>
    <a:p>
      <a:pPr>
        <a:defRPr sz="1100" b="1"/>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[PROJECT-1(Swiggy_sales_data).xlsx]Analysis!PivotTable11</c:name>
    <c:fmtId val="23"/>
  </c:pivotSource>
  <c:chart>
    <c:autoTitleDeleted val="1"/>
    <c:pivotFmts>
      <c:pivotFmt>
        <c:idx val="0"/>
        <c:spPr>
          <a:solidFill>
            <a:srgbClr val="993366"/>
          </a:solidFill>
          <a:ln w="19050">
            <a:solidFill>
              <a:schemeClr val="lt1"/>
            </a:solid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336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3366"/>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3710235276031461"/>
          <c:y val="0.14905784641614861"/>
          <c:w val="0.73152294400500018"/>
          <c:h val="0.74894298705735463"/>
        </c:manualLayout>
      </c:layout>
      <c:barChart>
        <c:barDir val="bar"/>
        <c:grouping val="clustered"/>
        <c:varyColors val="0"/>
        <c:ser>
          <c:idx val="0"/>
          <c:order val="0"/>
          <c:tx>
            <c:strRef>
              <c:f>Analysis!$G$23</c:f>
              <c:strCache>
                <c:ptCount val="1"/>
                <c:pt idx="0">
                  <c:v>Total</c:v>
                </c:pt>
              </c:strCache>
            </c:strRef>
          </c:tx>
          <c:spPr>
            <a:solidFill>
              <a:srgbClr val="993366"/>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dk1">
                          <a:lumMod val="35000"/>
                          <a:lumOff val="65000"/>
                        </a:schemeClr>
                      </a:solidFill>
                      <a:round/>
                    </a:ln>
                    <a:effectLst/>
                  </c:spPr>
                </c15:leaderLines>
              </c:ext>
            </c:extLst>
          </c:dLbls>
          <c:cat>
            <c:strRef>
              <c:f>Analysis!$F$24:$F$30</c:f>
              <c:strCache>
                <c:ptCount val="6"/>
                <c:pt idx="0">
                  <c:v>Bangalore</c:v>
                </c:pt>
                <c:pt idx="1">
                  <c:v>Chennai</c:v>
                </c:pt>
                <c:pt idx="2">
                  <c:v>Delhi</c:v>
                </c:pt>
                <c:pt idx="3">
                  <c:v>Hyderabad</c:v>
                </c:pt>
                <c:pt idx="4">
                  <c:v>Mumbai</c:v>
                </c:pt>
                <c:pt idx="5">
                  <c:v>Pune</c:v>
                </c:pt>
              </c:strCache>
            </c:strRef>
          </c:cat>
          <c:val>
            <c:numRef>
              <c:f>Analysis!$G$24:$G$30</c:f>
              <c:numCache>
                <c:formatCode>General</c:formatCode>
                <c:ptCount val="6"/>
                <c:pt idx="0">
                  <c:v>24</c:v>
                </c:pt>
                <c:pt idx="1">
                  <c:v>33</c:v>
                </c:pt>
                <c:pt idx="2">
                  <c:v>37</c:v>
                </c:pt>
                <c:pt idx="3">
                  <c:v>33</c:v>
                </c:pt>
                <c:pt idx="4">
                  <c:v>34</c:v>
                </c:pt>
                <c:pt idx="5">
                  <c:v>39</c:v>
                </c:pt>
              </c:numCache>
            </c:numRef>
          </c:val>
        </c:ser>
        <c:dLbls>
          <c:showLegendKey val="0"/>
          <c:showVal val="0"/>
          <c:showCatName val="0"/>
          <c:showSerName val="0"/>
          <c:showPercent val="0"/>
          <c:showBubbleSize val="0"/>
        </c:dLbls>
        <c:gapWidth val="150"/>
        <c:axId val="240071352"/>
        <c:axId val="240074880"/>
      </c:barChart>
      <c:valAx>
        <c:axId val="240074880"/>
        <c:scaling>
          <c:orientation val="minMax"/>
        </c:scaling>
        <c:delete val="0"/>
        <c:axPos val="b"/>
        <c:majorGridlines>
          <c:spPr>
            <a:ln w="9525" cap="flat" cmpd="sng" algn="ctr">
              <a:solidFill>
                <a:srgbClr val="993366"/>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240071352"/>
        <c:crosses val="autoZero"/>
        <c:crossBetween val="between"/>
      </c:valAx>
      <c:catAx>
        <c:axId val="2400713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cap="none" spc="0" normalizeH="0" baseline="0">
                <a:solidFill>
                  <a:srgbClr val="993366"/>
                </a:solidFill>
                <a:latin typeface="+mn-lt"/>
                <a:ea typeface="+mn-ea"/>
                <a:cs typeface="+mn-cs"/>
              </a:defRPr>
            </a:pPr>
            <a:endParaRPr lang="en-US"/>
          </a:p>
        </c:txPr>
        <c:crossAx val="240074880"/>
        <c:crosses val="autoZero"/>
        <c:auto val="1"/>
        <c:lblAlgn val="ctr"/>
        <c:lblOffset val="100"/>
        <c:noMultiLvlLbl val="0"/>
      </c:catAx>
      <c:spPr>
        <a:noFill/>
        <a:ln>
          <a:noFill/>
        </a:ln>
        <a:effectLst/>
      </c:spPr>
    </c:plotArea>
    <c:legend>
      <c:legendPos val="r"/>
      <c:layout>
        <c:manualLayout>
          <c:xMode val="edge"/>
          <c:yMode val="edge"/>
          <c:x val="0.82887797707482036"/>
          <c:y val="0.49956521403561127"/>
          <c:w val="0.15765263581941336"/>
          <c:h val="6.5495746043833625E-2"/>
        </c:manualLayout>
      </c:layout>
      <c:overlay val="0"/>
      <c:spPr>
        <a:solidFill>
          <a:schemeClr val="lt1">
            <a:alpha val="50000"/>
          </a:schemeClr>
        </a:solid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pattFill prst="pct50">
      <a:fgClr>
        <a:srgbClr val="D581FF"/>
      </a:fgClr>
      <a:bgClr>
        <a:schemeClr val="bg1"/>
      </a:bgClr>
    </a:pattFill>
    <a:ln w="38100" cap="flat" cmpd="sng" algn="ctr">
      <a:solidFill>
        <a:srgbClr val="993366"/>
      </a:solidFill>
      <a:round/>
    </a:ln>
    <a:effectLst/>
  </c:spPr>
  <c:txPr>
    <a:bodyPr/>
    <a:lstStyle/>
    <a:p>
      <a:pPr>
        <a:defRPr sz="1100">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[PROJECT-1(Swiggy_sales_data).xlsx]Analysis!PivotTable10</c:name>
    <c:fmtId val="20"/>
  </c:pivotSource>
  <c:chart>
    <c:autoTitleDeleted val="1"/>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5738876365384048E-2"/>
          <c:y val="0.13654982749038294"/>
          <c:w val="0.81564474969612022"/>
          <c:h val="0.64524402771429568"/>
        </c:manualLayout>
      </c:layout>
      <c:pieChart>
        <c:varyColors val="1"/>
        <c:ser>
          <c:idx val="0"/>
          <c:order val="0"/>
          <c:tx>
            <c:strRef>
              <c:f>Analysis!$E$24</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Analysis!$D$25:$D$31</c:f>
              <c:strCache>
                <c:ptCount val="6"/>
                <c:pt idx="0">
                  <c:v>Burgers</c:v>
                </c:pt>
                <c:pt idx="1">
                  <c:v>Cafe</c:v>
                </c:pt>
                <c:pt idx="2">
                  <c:v>Chinese</c:v>
                </c:pt>
                <c:pt idx="3">
                  <c:v>Indian</c:v>
                </c:pt>
                <c:pt idx="4">
                  <c:v>Pizza</c:v>
                </c:pt>
                <c:pt idx="5">
                  <c:v>Snacks</c:v>
                </c:pt>
              </c:strCache>
            </c:strRef>
          </c:cat>
          <c:val>
            <c:numRef>
              <c:f>Analysis!$E$25:$E$31</c:f>
              <c:numCache>
                <c:formatCode>General</c:formatCode>
                <c:ptCount val="6"/>
                <c:pt idx="0">
                  <c:v>27</c:v>
                </c:pt>
                <c:pt idx="1">
                  <c:v>33</c:v>
                </c:pt>
                <c:pt idx="2">
                  <c:v>38</c:v>
                </c:pt>
                <c:pt idx="3">
                  <c:v>37</c:v>
                </c:pt>
                <c:pt idx="4">
                  <c:v>33</c:v>
                </c:pt>
                <c:pt idx="5">
                  <c:v>32</c:v>
                </c:pt>
              </c:numCache>
            </c:numRef>
          </c:val>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3.3713527875927725E-3"/>
          <c:y val="0.81662840005572679"/>
          <c:w val="0.99272348665034704"/>
          <c:h val="0.18295513758379447"/>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2700000" scaled="1"/>
      <a:tileRect/>
    </a:gradFill>
    <a:ln w="9525" cap="flat" cmpd="sng" algn="ctr">
      <a:solidFill>
        <a:schemeClr val="tx1">
          <a:lumMod val="15000"/>
          <a:lumOff val="85000"/>
        </a:schemeClr>
      </a:solidFill>
      <a:round/>
    </a:ln>
    <a:effectLst>
      <a:glow rad="139700">
        <a:schemeClr val="accent2">
          <a:satMod val="175000"/>
          <a:alpha val="40000"/>
        </a:schemeClr>
      </a:glow>
    </a:effectLst>
  </c:spPr>
  <c:txPr>
    <a:bodyPr/>
    <a:lstStyle/>
    <a:p>
      <a:pPr>
        <a:defRPr sz="1050" b="1">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3.png"/><Relationship Id="rId7" Type="http://schemas.microsoft.com/office/2007/relationships/hdphoto" Target="../media/hdphoto1.wdp"/><Relationship Id="rId12" Type="http://schemas.openxmlformats.org/officeDocument/2006/relationships/chart" Target="../charts/chart2.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image" Target="../media/image8.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404090</xdr:colOff>
      <xdr:row>1</xdr:row>
      <xdr:rowOff>6933</xdr:rowOff>
    </xdr:from>
    <xdr:to>
      <xdr:col>31</xdr:col>
      <xdr:colOff>483875</xdr:colOff>
      <xdr:row>64</xdr:row>
      <xdr:rowOff>115453</xdr:rowOff>
    </xdr:to>
    <xdr:sp macro="" textlink="">
      <xdr:nvSpPr>
        <xdr:cNvPr id="2" name="Rectangle 1"/>
        <xdr:cNvSpPr/>
      </xdr:nvSpPr>
      <xdr:spPr>
        <a:xfrm>
          <a:off x="1635605" y="199357"/>
          <a:ext cx="17936755" cy="12231248"/>
        </a:xfrm>
        <a:prstGeom prst="rect">
          <a:avLst/>
        </a:prstGeom>
        <a:pattFill prst="smCheck">
          <a:fgClr>
            <a:schemeClr val="accent4">
              <a:lumMod val="40000"/>
              <a:lumOff val="60000"/>
            </a:schemeClr>
          </a:fgClr>
          <a:bgClr>
            <a:schemeClr val="bg1"/>
          </a:bgClr>
        </a:pattFill>
        <a:ln w="57150">
          <a:solidFill>
            <a:schemeClr val="accent2"/>
          </a:solidFill>
        </a:ln>
        <a:effectLst>
          <a:glow rad="63500">
            <a:schemeClr val="accent4">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solidFill>
              <a:schemeClr val="tx1"/>
            </a:solidFill>
          </a:endParaRPr>
        </a:p>
      </xdr:txBody>
    </xdr:sp>
    <xdr:clientData/>
  </xdr:twoCellAnchor>
  <xdr:twoCellAnchor>
    <xdr:from>
      <xdr:col>27</xdr:col>
      <xdr:colOff>190500</xdr:colOff>
      <xdr:row>1</xdr:row>
      <xdr:rowOff>147721</xdr:rowOff>
    </xdr:from>
    <xdr:to>
      <xdr:col>31</xdr:col>
      <xdr:colOff>333375</xdr:colOff>
      <xdr:row>54</xdr:row>
      <xdr:rowOff>38485</xdr:rowOff>
    </xdr:to>
    <xdr:sp macro="" textlink="">
      <xdr:nvSpPr>
        <xdr:cNvPr id="3" name="Rectangle 2"/>
        <xdr:cNvSpPr/>
      </xdr:nvSpPr>
      <xdr:spPr>
        <a:xfrm>
          <a:off x="16815955" y="340145"/>
          <a:ext cx="2605905" cy="10089249"/>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50000"/>
              </a:schemeClr>
            </a:solidFill>
          </a:endParaRPr>
        </a:p>
      </xdr:txBody>
    </xdr:sp>
    <xdr:clientData/>
  </xdr:twoCellAnchor>
  <xdr:twoCellAnchor editAs="oneCell">
    <xdr:from>
      <xdr:col>27</xdr:col>
      <xdr:colOff>254490</xdr:colOff>
      <xdr:row>4</xdr:row>
      <xdr:rowOff>67169</xdr:rowOff>
    </xdr:from>
    <xdr:to>
      <xdr:col>31</xdr:col>
      <xdr:colOff>254000</xdr:colOff>
      <xdr:row>14</xdr:row>
      <xdr:rowOff>15875</xdr:rowOff>
    </xdr:to>
    <mc:AlternateContent xmlns:mc="http://schemas.openxmlformats.org/markup-compatibility/2006" xmlns:a14="http://schemas.microsoft.com/office/drawing/2010/main">
      <mc:Choice Requires="a14">
        <xdr:graphicFrame macro="">
          <xdr:nvGraphicFramePr>
            <xdr:cNvPr id="4" name="Date 3"/>
            <xdr:cNvGraphicFramePr/>
          </xdr:nvGraphicFramePr>
          <xdr:xfrm>
            <a:off x="0" y="0"/>
            <a:ext cx="0" cy="0"/>
          </xdr:xfrm>
          <a:graphic>
            <a:graphicData uri="http://schemas.microsoft.com/office/drawing/2010/slicer">
              <sle:slicer xmlns:sle="http://schemas.microsoft.com/office/drawing/2010/slicer" name="Date 3"/>
            </a:graphicData>
          </a:graphic>
        </xdr:graphicFrame>
      </mc:Choice>
      <mc:Fallback xmlns="">
        <xdr:sp macro="" textlink="">
          <xdr:nvSpPr>
            <xdr:cNvPr id="0" name=""/>
            <xdr:cNvSpPr>
              <a:spLocks noTextEdit="1"/>
            </xdr:cNvSpPr>
          </xdr:nvSpPr>
          <xdr:spPr>
            <a:xfrm>
              <a:off x="16879945" y="836866"/>
              <a:ext cx="2462540" cy="1872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284293</xdr:colOff>
      <xdr:row>14</xdr:row>
      <xdr:rowOff>42333</xdr:rowOff>
    </xdr:from>
    <xdr:to>
      <xdr:col>31</xdr:col>
      <xdr:colOff>239928</xdr:colOff>
      <xdr:row>24</xdr:row>
      <xdr:rowOff>47625</xdr:rowOff>
    </xdr:to>
    <mc:AlternateContent xmlns:mc="http://schemas.openxmlformats.org/markup-compatibility/2006" xmlns:a14="http://schemas.microsoft.com/office/drawing/2010/main">
      <mc:Choice Requires="a14">
        <xdr:graphicFrame macro="">
          <xdr:nvGraphicFramePr>
            <xdr:cNvPr id="5" name="Restaurant Name 2"/>
            <xdr:cNvGraphicFramePr/>
          </xdr:nvGraphicFramePr>
          <xdr:xfrm>
            <a:off x="0" y="0"/>
            <a:ext cx="0" cy="0"/>
          </xdr:xfrm>
          <a:graphic>
            <a:graphicData uri="http://schemas.microsoft.com/office/drawing/2010/slicer">
              <sle:slicer xmlns:sle="http://schemas.microsoft.com/office/drawing/2010/slicer" name="Restaurant Name 2"/>
            </a:graphicData>
          </a:graphic>
        </xdr:graphicFrame>
      </mc:Choice>
      <mc:Fallback xmlns="">
        <xdr:sp macro="" textlink="">
          <xdr:nvSpPr>
            <xdr:cNvPr id="0" name=""/>
            <xdr:cNvSpPr>
              <a:spLocks noTextEdit="1"/>
            </xdr:cNvSpPr>
          </xdr:nvSpPr>
          <xdr:spPr>
            <a:xfrm>
              <a:off x="16909748" y="2736272"/>
              <a:ext cx="2418665" cy="1929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284997</xdr:colOff>
      <xdr:row>24</xdr:row>
      <xdr:rowOff>82549</xdr:rowOff>
    </xdr:from>
    <xdr:to>
      <xdr:col>31</xdr:col>
      <xdr:colOff>238124</xdr:colOff>
      <xdr:row>34</xdr:row>
      <xdr:rowOff>79375</xdr:rowOff>
    </xdr:to>
    <mc:AlternateContent xmlns:mc="http://schemas.openxmlformats.org/markup-compatibility/2006" xmlns:a14="http://schemas.microsoft.com/office/drawing/2010/main">
      <mc:Choice Requires="a14">
        <xdr:graphicFrame macro="">
          <xdr:nvGraphicFramePr>
            <xdr:cNvPr id="6" name="Cuisine Type 2"/>
            <xdr:cNvGraphicFramePr/>
          </xdr:nvGraphicFramePr>
          <xdr:xfrm>
            <a:off x="0" y="0"/>
            <a:ext cx="0" cy="0"/>
          </xdr:xfrm>
          <a:graphic>
            <a:graphicData uri="http://schemas.microsoft.com/office/drawing/2010/slicer">
              <sle:slicer xmlns:sle="http://schemas.microsoft.com/office/drawing/2010/slicer" name="Cuisine Type 2"/>
            </a:graphicData>
          </a:graphic>
        </xdr:graphicFrame>
      </mc:Choice>
      <mc:Fallback xmlns="">
        <xdr:sp macro="" textlink="">
          <xdr:nvSpPr>
            <xdr:cNvPr id="0" name=""/>
            <xdr:cNvSpPr>
              <a:spLocks noTextEdit="1"/>
            </xdr:cNvSpPr>
          </xdr:nvSpPr>
          <xdr:spPr>
            <a:xfrm>
              <a:off x="16910452" y="4700731"/>
              <a:ext cx="2416157" cy="19210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259697</xdr:colOff>
      <xdr:row>34</xdr:row>
      <xdr:rowOff>113079</xdr:rowOff>
    </xdr:from>
    <xdr:to>
      <xdr:col>31</xdr:col>
      <xdr:colOff>239377</xdr:colOff>
      <xdr:row>44</xdr:row>
      <xdr:rowOff>47625</xdr:rowOff>
    </xdr:to>
    <mc:AlternateContent xmlns:mc="http://schemas.openxmlformats.org/markup-compatibility/2006" xmlns:a14="http://schemas.microsoft.com/office/drawing/2010/main">
      <mc:Choice Requires="a14">
        <xdr:graphicFrame macro="">
          <xdr:nvGraphicFramePr>
            <xdr:cNvPr id="7" name="Customer Location 2"/>
            <xdr:cNvGraphicFramePr/>
          </xdr:nvGraphicFramePr>
          <xdr:xfrm>
            <a:off x="0" y="0"/>
            <a:ext cx="0" cy="0"/>
          </xdr:xfrm>
          <a:graphic>
            <a:graphicData uri="http://schemas.microsoft.com/office/drawing/2010/slicer">
              <sle:slicer xmlns:sle="http://schemas.microsoft.com/office/drawing/2010/slicer" name="Customer Location 2"/>
            </a:graphicData>
          </a:graphic>
        </xdr:graphicFrame>
      </mc:Choice>
      <mc:Fallback xmlns="">
        <xdr:sp macro="" textlink="">
          <xdr:nvSpPr>
            <xdr:cNvPr id="0" name=""/>
            <xdr:cNvSpPr>
              <a:spLocks noTextEdit="1"/>
            </xdr:cNvSpPr>
          </xdr:nvSpPr>
          <xdr:spPr>
            <a:xfrm>
              <a:off x="16885152" y="6655503"/>
              <a:ext cx="2442710" cy="18587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280176</xdr:colOff>
      <xdr:row>44</xdr:row>
      <xdr:rowOff>105833</xdr:rowOff>
    </xdr:from>
    <xdr:to>
      <xdr:col>31</xdr:col>
      <xdr:colOff>248708</xdr:colOff>
      <xdr:row>53</xdr:row>
      <xdr:rowOff>185208</xdr:rowOff>
    </xdr:to>
    <mc:AlternateContent xmlns:mc="http://schemas.openxmlformats.org/markup-compatibility/2006" xmlns:a14="http://schemas.microsoft.com/office/drawing/2010/main">
      <mc:Choice Requires="a14">
        <xdr:graphicFrame macro="">
          <xdr:nvGraphicFramePr>
            <xdr:cNvPr id="8" name="Payment Method 1"/>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6905631" y="8572500"/>
              <a:ext cx="2431562" cy="1811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226122</xdr:colOff>
      <xdr:row>2</xdr:row>
      <xdr:rowOff>4260</xdr:rowOff>
    </xdr:from>
    <xdr:to>
      <xdr:col>30</xdr:col>
      <xdr:colOff>528521</xdr:colOff>
      <xdr:row>4</xdr:row>
      <xdr:rowOff>4259</xdr:rowOff>
    </xdr:to>
    <xdr:sp macro="" textlink="">
      <xdr:nvSpPr>
        <xdr:cNvPr id="9" name="TextBox 8"/>
        <xdr:cNvSpPr txBox="1"/>
      </xdr:nvSpPr>
      <xdr:spPr>
        <a:xfrm>
          <a:off x="16534781" y="375967"/>
          <a:ext cx="2114472" cy="371707"/>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2200" b="1">
              <a:solidFill>
                <a:schemeClr val="bg1"/>
              </a:solidFill>
              <a:effectLst/>
              <a:latin typeface="Arial" panose="020B0604020202020204" pitchFamily="34" charset="0"/>
              <a:ea typeface="+mn-ea"/>
              <a:cs typeface="Arial" panose="020B0604020202020204" pitchFamily="34" charset="0"/>
            </a:rPr>
            <a:t>Filter Panel</a:t>
          </a:r>
          <a:endParaRPr lang="en-US" sz="2200" b="1">
            <a:solidFill>
              <a:schemeClr val="bg1"/>
            </a:solidFill>
            <a:effectLst/>
            <a:latin typeface="Arial" panose="020B0604020202020204" pitchFamily="34" charset="0"/>
            <a:cs typeface="Arial" panose="020B0604020202020204" pitchFamily="34" charset="0"/>
          </a:endParaRPr>
        </a:p>
        <a:p>
          <a:endParaRPr lang="en-US" sz="1100"/>
        </a:p>
      </xdr:txBody>
    </xdr:sp>
    <xdr:clientData/>
  </xdr:twoCellAnchor>
  <xdr:twoCellAnchor>
    <xdr:from>
      <xdr:col>2</xdr:col>
      <xdr:colOff>508000</xdr:colOff>
      <xdr:row>1</xdr:row>
      <xdr:rowOff>120359</xdr:rowOff>
    </xdr:from>
    <xdr:to>
      <xdr:col>27</xdr:col>
      <xdr:colOff>79375</xdr:colOff>
      <xdr:row>6</xdr:row>
      <xdr:rowOff>111124</xdr:rowOff>
    </xdr:to>
    <xdr:sp macro="" textlink="">
      <xdr:nvSpPr>
        <xdr:cNvPr id="10" name="Rectangle 9"/>
        <xdr:cNvSpPr/>
      </xdr:nvSpPr>
      <xdr:spPr>
        <a:xfrm rot="16200000">
          <a:off x="8677130" y="-6645421"/>
          <a:ext cx="911515" cy="14811375"/>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50000"/>
              </a:schemeClr>
            </a:solidFill>
          </a:endParaRPr>
        </a:p>
      </xdr:txBody>
    </xdr:sp>
    <xdr:clientData/>
  </xdr:twoCellAnchor>
  <xdr:twoCellAnchor>
    <xdr:from>
      <xdr:col>3</xdr:col>
      <xdr:colOff>254000</xdr:colOff>
      <xdr:row>1</xdr:row>
      <xdr:rowOff>167984</xdr:rowOff>
    </xdr:from>
    <xdr:to>
      <xdr:col>8</xdr:col>
      <xdr:colOff>523875</xdr:colOff>
      <xdr:row>6</xdr:row>
      <xdr:rowOff>31749</xdr:rowOff>
    </xdr:to>
    <xdr:sp macro="" textlink="">
      <xdr:nvSpPr>
        <xdr:cNvPr id="11" name="Rectangle 10"/>
        <xdr:cNvSpPr/>
      </xdr:nvSpPr>
      <xdr:spPr>
        <a:xfrm>
          <a:off x="2082800" y="352134"/>
          <a:ext cx="3317875" cy="784515"/>
        </a:xfrm>
        <a:prstGeom prst="rect">
          <a:avLst/>
        </a:prstGeom>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98423</xdr:colOff>
      <xdr:row>2</xdr:row>
      <xdr:rowOff>28284</xdr:rowOff>
    </xdr:from>
    <xdr:to>
      <xdr:col>14</xdr:col>
      <xdr:colOff>483741</xdr:colOff>
      <xdr:row>6</xdr:row>
      <xdr:rowOff>0</xdr:rowOff>
    </xdr:to>
    <xdr:sp macro="" textlink="">
      <xdr:nvSpPr>
        <xdr:cNvPr id="12" name="Rounded Rectangle 11"/>
        <xdr:cNvSpPr/>
      </xdr:nvSpPr>
      <xdr:spPr>
        <a:xfrm>
          <a:off x="5584823" y="396584"/>
          <a:ext cx="3433318" cy="708316"/>
        </a:xfrm>
        <a:prstGeom prst="roundRect">
          <a:avLst/>
        </a:prstGeom>
        <a:gradFill flip="none" rotWithShape="1">
          <a:gsLst>
            <a:gs pos="0">
              <a:schemeClr val="accent2">
                <a:lumMod val="50000"/>
                <a:shade val="30000"/>
                <a:satMod val="115000"/>
              </a:schemeClr>
            </a:gs>
            <a:gs pos="50000">
              <a:schemeClr val="accent2">
                <a:lumMod val="50000"/>
                <a:shade val="67500"/>
                <a:satMod val="115000"/>
              </a:schemeClr>
            </a:gs>
            <a:gs pos="100000">
              <a:schemeClr val="accent2">
                <a:lumMod val="50000"/>
                <a:shade val="100000"/>
                <a:satMod val="115000"/>
              </a:schemeClr>
            </a:gs>
          </a:gsLst>
          <a:lin ang="54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lt1"/>
            </a:solidFill>
            <a:latin typeface="+mn-lt"/>
            <a:ea typeface="+mn-ea"/>
            <a:cs typeface="+mn-cs"/>
          </a:endParaRPr>
        </a:p>
      </xdr:txBody>
    </xdr:sp>
    <xdr:clientData/>
  </xdr:twoCellAnchor>
  <xdr:twoCellAnchor>
    <xdr:from>
      <xdr:col>20</xdr:col>
      <xdr:colOff>555624</xdr:colOff>
      <xdr:row>2</xdr:row>
      <xdr:rowOff>25109</xdr:rowOff>
    </xdr:from>
    <xdr:to>
      <xdr:col>26</xdr:col>
      <xdr:colOff>337692</xdr:colOff>
      <xdr:row>5</xdr:row>
      <xdr:rowOff>180975</xdr:rowOff>
    </xdr:to>
    <xdr:sp macro="" textlink="">
      <xdr:nvSpPr>
        <xdr:cNvPr id="13" name="Rounded Rectangle 12"/>
        <xdr:cNvSpPr/>
      </xdr:nvSpPr>
      <xdr:spPr>
        <a:xfrm>
          <a:off x="12747624" y="393409"/>
          <a:ext cx="3439668" cy="708316"/>
        </a:xfrm>
        <a:prstGeom prst="roundRect">
          <a:avLst/>
        </a:prstGeom>
        <a:gradFill flip="none" rotWithShape="1">
          <a:gsLst>
            <a:gs pos="0">
              <a:schemeClr val="accent2">
                <a:lumMod val="50000"/>
                <a:shade val="30000"/>
                <a:satMod val="115000"/>
              </a:schemeClr>
            </a:gs>
            <a:gs pos="50000">
              <a:schemeClr val="accent2">
                <a:lumMod val="50000"/>
                <a:shade val="67500"/>
                <a:satMod val="115000"/>
              </a:schemeClr>
            </a:gs>
            <a:gs pos="100000">
              <a:schemeClr val="accent2">
                <a:lumMod val="50000"/>
                <a:shade val="100000"/>
                <a:satMod val="115000"/>
              </a:schemeClr>
            </a:gs>
          </a:gsLst>
          <a:lin ang="54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lt1"/>
            </a:solidFill>
            <a:latin typeface="+mn-lt"/>
            <a:ea typeface="+mn-ea"/>
            <a:cs typeface="+mn-cs"/>
          </a:endParaRPr>
        </a:p>
      </xdr:txBody>
    </xdr:sp>
    <xdr:clientData/>
  </xdr:twoCellAnchor>
  <xdr:twoCellAnchor>
    <xdr:from>
      <xdr:col>15</xdr:col>
      <xdr:colOff>25399</xdr:colOff>
      <xdr:row>2</xdr:row>
      <xdr:rowOff>34634</xdr:rowOff>
    </xdr:from>
    <xdr:to>
      <xdr:col>20</xdr:col>
      <xdr:colOff>410717</xdr:colOff>
      <xdr:row>6</xdr:row>
      <xdr:rowOff>6350</xdr:rowOff>
    </xdr:to>
    <xdr:sp macro="" textlink="">
      <xdr:nvSpPr>
        <xdr:cNvPr id="14" name="Rounded Rectangle 13"/>
        <xdr:cNvSpPr/>
      </xdr:nvSpPr>
      <xdr:spPr>
        <a:xfrm>
          <a:off x="9169399" y="402934"/>
          <a:ext cx="3433318" cy="708316"/>
        </a:xfrm>
        <a:prstGeom prst="roundRect">
          <a:avLst/>
        </a:prstGeom>
        <a:gradFill flip="none" rotWithShape="1">
          <a:gsLst>
            <a:gs pos="0">
              <a:schemeClr val="accent2">
                <a:lumMod val="50000"/>
                <a:shade val="30000"/>
                <a:satMod val="115000"/>
              </a:schemeClr>
            </a:gs>
            <a:gs pos="50000">
              <a:schemeClr val="accent2">
                <a:lumMod val="50000"/>
                <a:shade val="67500"/>
                <a:satMod val="115000"/>
              </a:schemeClr>
            </a:gs>
            <a:gs pos="100000">
              <a:schemeClr val="accent2">
                <a:lumMod val="50000"/>
                <a:shade val="100000"/>
                <a:satMod val="115000"/>
              </a:schemeClr>
            </a:gs>
          </a:gsLst>
          <a:lin ang="54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lt1"/>
            </a:solidFill>
            <a:latin typeface="+mn-lt"/>
            <a:ea typeface="+mn-ea"/>
            <a:cs typeface="+mn-cs"/>
          </a:endParaRPr>
        </a:p>
      </xdr:txBody>
    </xdr:sp>
    <xdr:clientData/>
  </xdr:twoCellAnchor>
  <xdr:twoCellAnchor editAs="oneCell">
    <xdr:from>
      <xdr:col>3</xdr:col>
      <xdr:colOff>555624</xdr:colOff>
      <xdr:row>1</xdr:row>
      <xdr:rowOff>183859</xdr:rowOff>
    </xdr:from>
    <xdr:to>
      <xdr:col>8</xdr:col>
      <xdr:colOff>253999</xdr:colOff>
      <xdr:row>6</xdr:row>
      <xdr:rowOff>7415</xdr:rowOff>
    </xdr:to>
    <xdr:pic>
      <xdr:nvPicPr>
        <xdr:cNvPr id="15" name="Picture 14"/>
        <xdr:cNvPicPr>
          <a:picLocks noChangeAspect="1"/>
        </xdr:cNvPicPr>
      </xdr:nvPicPr>
      <xdr:blipFill>
        <a:blip xmlns:r="http://schemas.openxmlformats.org/officeDocument/2006/relationships" r:embed="rId1"/>
        <a:stretch>
          <a:fillRect/>
        </a:stretch>
      </xdr:blipFill>
      <xdr:spPr>
        <a:xfrm>
          <a:off x="2384424" y="368009"/>
          <a:ext cx="2746375" cy="744306"/>
        </a:xfrm>
        <a:prstGeom prst="rect">
          <a:avLst/>
        </a:prstGeom>
      </xdr:spPr>
    </xdr:pic>
    <xdr:clientData/>
  </xdr:twoCellAnchor>
  <xdr:twoCellAnchor>
    <xdr:from>
      <xdr:col>9</xdr:col>
      <xdr:colOff>222249</xdr:colOff>
      <xdr:row>2</xdr:row>
      <xdr:rowOff>63500</xdr:rowOff>
    </xdr:from>
    <xdr:to>
      <xdr:col>13</xdr:col>
      <xdr:colOff>508000</xdr:colOff>
      <xdr:row>5</xdr:row>
      <xdr:rowOff>174625</xdr:rowOff>
    </xdr:to>
    <xdr:sp macro="" textlink="">
      <xdr:nvSpPr>
        <xdr:cNvPr id="16" name="TextBox 15"/>
        <xdr:cNvSpPr txBox="1"/>
      </xdr:nvSpPr>
      <xdr:spPr>
        <a:xfrm>
          <a:off x="5708649" y="431800"/>
          <a:ext cx="2724151" cy="66357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b="1">
              <a:solidFill>
                <a:schemeClr val="lt1"/>
              </a:solidFill>
              <a:latin typeface="Arial" panose="020B0604020202020204" pitchFamily="34" charset="0"/>
              <a:ea typeface="+mn-ea"/>
              <a:cs typeface="Arial" panose="020B0604020202020204" pitchFamily="34" charset="0"/>
            </a:rPr>
            <a:t>Dashboard</a:t>
          </a:r>
        </a:p>
      </xdr:txBody>
    </xdr:sp>
    <xdr:clientData/>
  </xdr:twoCellAnchor>
  <xdr:twoCellAnchor editAs="oneCell">
    <xdr:from>
      <xdr:col>13</xdr:col>
      <xdr:colOff>50798</xdr:colOff>
      <xdr:row>2</xdr:row>
      <xdr:rowOff>187033</xdr:rowOff>
    </xdr:from>
    <xdr:to>
      <xdr:col>13</xdr:col>
      <xdr:colOff>476250</xdr:colOff>
      <xdr:row>5</xdr:row>
      <xdr:rowOff>38069</xdr:rowOff>
    </xdr:to>
    <xdr:pic>
      <xdr:nvPicPr>
        <xdr:cNvPr id="17" name="Picture 16"/>
        <xdr:cNvPicPr>
          <a:picLocks noChangeAspect="1"/>
        </xdr:cNvPicPr>
      </xdr:nvPicPr>
      <xdr:blipFill>
        <a:blip xmlns:r="http://schemas.openxmlformats.org/officeDocument/2006/relationships" r:embed="rId2"/>
        <a:stretch>
          <a:fillRect/>
        </a:stretch>
      </xdr:blipFill>
      <xdr:spPr>
        <a:xfrm>
          <a:off x="7975598" y="555333"/>
          <a:ext cx="425452" cy="403486"/>
        </a:xfrm>
        <a:prstGeom prst="rect">
          <a:avLst/>
        </a:prstGeom>
      </xdr:spPr>
    </xdr:pic>
    <xdr:clientData/>
  </xdr:twoCellAnchor>
  <xdr:twoCellAnchor>
    <xdr:from>
      <xdr:col>15</xdr:col>
      <xdr:colOff>174625</xdr:colOff>
      <xdr:row>2</xdr:row>
      <xdr:rowOff>158750</xdr:rowOff>
    </xdr:from>
    <xdr:to>
      <xdr:col>20</xdr:col>
      <xdr:colOff>0</xdr:colOff>
      <xdr:row>5</xdr:row>
      <xdr:rowOff>63500</xdr:rowOff>
    </xdr:to>
    <xdr:sp macro="" textlink="">
      <xdr:nvSpPr>
        <xdr:cNvPr id="18" name="TextBox 17"/>
        <xdr:cNvSpPr txBox="1"/>
      </xdr:nvSpPr>
      <xdr:spPr>
        <a:xfrm>
          <a:off x="9318625" y="527050"/>
          <a:ext cx="2873375" cy="4572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Arial" panose="020B0604020202020204" pitchFamily="34" charset="0"/>
              <a:cs typeface="Arial" panose="020B0604020202020204" pitchFamily="34" charset="0"/>
            </a:rPr>
            <a:t>Data</a:t>
          </a:r>
        </a:p>
      </xdr:txBody>
    </xdr:sp>
    <xdr:clientData/>
  </xdr:twoCellAnchor>
  <xdr:twoCellAnchor editAs="oneCell">
    <xdr:from>
      <xdr:col>18</xdr:col>
      <xdr:colOff>126999</xdr:colOff>
      <xdr:row>3</xdr:row>
      <xdr:rowOff>31749</xdr:rowOff>
    </xdr:from>
    <xdr:to>
      <xdr:col>18</xdr:col>
      <xdr:colOff>492125</xdr:colOff>
      <xdr:row>5</xdr:row>
      <xdr:rowOff>3543</xdr:rowOff>
    </xdr:to>
    <xdr:pic>
      <xdr:nvPicPr>
        <xdr:cNvPr id="19" name="Picture 18"/>
        <xdr:cNvPicPr>
          <a:picLocks noChangeAspect="1"/>
        </xdr:cNvPicPr>
      </xdr:nvPicPr>
      <xdr:blipFill>
        <a:blip xmlns:r="http://schemas.openxmlformats.org/officeDocument/2006/relationships" r:embed="rId3"/>
        <a:stretch>
          <a:fillRect/>
        </a:stretch>
      </xdr:blipFill>
      <xdr:spPr>
        <a:xfrm>
          <a:off x="11099799" y="584199"/>
          <a:ext cx="365126" cy="340094"/>
        </a:xfrm>
        <a:prstGeom prst="rect">
          <a:avLst/>
        </a:prstGeom>
      </xdr:spPr>
    </xdr:pic>
    <xdr:clientData/>
  </xdr:twoCellAnchor>
  <xdr:twoCellAnchor>
    <xdr:from>
      <xdr:col>21</xdr:col>
      <xdr:colOff>31750</xdr:colOff>
      <xdr:row>2</xdr:row>
      <xdr:rowOff>158750</xdr:rowOff>
    </xdr:from>
    <xdr:to>
      <xdr:col>25</xdr:col>
      <xdr:colOff>460375</xdr:colOff>
      <xdr:row>5</xdr:row>
      <xdr:rowOff>31750</xdr:rowOff>
    </xdr:to>
    <xdr:sp macro="" textlink="">
      <xdr:nvSpPr>
        <xdr:cNvPr id="20" name="TextBox 19"/>
        <xdr:cNvSpPr txBox="1"/>
      </xdr:nvSpPr>
      <xdr:spPr>
        <a:xfrm>
          <a:off x="12833350" y="527050"/>
          <a:ext cx="2867025"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Arial" panose="020B0604020202020204" pitchFamily="34" charset="0"/>
              <a:cs typeface="Arial" panose="020B0604020202020204" pitchFamily="34" charset="0"/>
            </a:rPr>
            <a:t>Analysis</a:t>
          </a:r>
          <a:endParaRPr lang="en-US" sz="22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24</xdr:col>
      <xdr:colOff>253998</xdr:colOff>
      <xdr:row>2</xdr:row>
      <xdr:rowOff>136234</xdr:rowOff>
    </xdr:from>
    <xdr:to>
      <xdr:col>25</xdr:col>
      <xdr:colOff>136983</xdr:colOff>
      <xdr:row>5</xdr:row>
      <xdr:rowOff>31750</xdr:rowOff>
    </xdr:to>
    <xdr:pic>
      <xdr:nvPicPr>
        <xdr:cNvPr id="21" name="Picture 20" descr="Data analysis - Free business icons"/>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884398" y="504534"/>
          <a:ext cx="492585" cy="4479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538788</xdr:colOff>
      <xdr:row>32</xdr:row>
      <xdr:rowOff>0</xdr:rowOff>
    </xdr:from>
    <xdr:to>
      <xdr:col>12</xdr:col>
      <xdr:colOff>442576</xdr:colOff>
      <xdr:row>53</xdr:row>
      <xdr:rowOff>23582</xdr:rowOff>
    </xdr:to>
    <xdr:sp macro="" textlink="">
      <xdr:nvSpPr>
        <xdr:cNvPr id="25" name="Round Same Side Corner Rectangle 24"/>
        <xdr:cNvSpPr/>
      </xdr:nvSpPr>
      <xdr:spPr>
        <a:xfrm>
          <a:off x="1770303" y="6157576"/>
          <a:ext cx="6061364" cy="4064491"/>
        </a:xfrm>
        <a:prstGeom prst="round2Same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75000"/>
              </a:schemeClr>
            </a:solidFill>
          </a:endParaRPr>
        </a:p>
      </xdr:txBody>
    </xdr:sp>
    <xdr:clientData/>
  </xdr:twoCellAnchor>
  <xdr:twoCellAnchor>
    <xdr:from>
      <xdr:col>3</xdr:col>
      <xdr:colOff>490565</xdr:colOff>
      <xdr:row>33</xdr:row>
      <xdr:rowOff>26938</xdr:rowOff>
    </xdr:from>
    <xdr:to>
      <xdr:col>11</xdr:col>
      <xdr:colOff>38485</xdr:colOff>
      <xdr:row>36</xdr:row>
      <xdr:rowOff>57727</xdr:rowOff>
    </xdr:to>
    <xdr:sp macro="" textlink="">
      <xdr:nvSpPr>
        <xdr:cNvPr id="27" name="TextBox 26"/>
        <xdr:cNvSpPr txBox="1"/>
      </xdr:nvSpPr>
      <xdr:spPr>
        <a:xfrm>
          <a:off x="2337838" y="6376938"/>
          <a:ext cx="4473980" cy="608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200" b="1">
              <a:solidFill>
                <a:schemeClr val="tx1"/>
              </a:solidFill>
              <a:latin typeface="Arial" panose="020B0604020202020204" pitchFamily="34" charset="0"/>
              <a:cs typeface="Arial" panose="020B0604020202020204" pitchFamily="34" charset="0"/>
            </a:rPr>
            <a:t>Top Restaurant</a:t>
          </a:r>
          <a:r>
            <a:rPr lang="en-US" sz="2200" b="1" baseline="0">
              <a:solidFill>
                <a:schemeClr val="tx1"/>
              </a:solidFill>
              <a:latin typeface="Arial" panose="020B0604020202020204" pitchFamily="34" charset="0"/>
              <a:cs typeface="Arial" panose="020B0604020202020204" pitchFamily="34" charset="0"/>
            </a:rPr>
            <a:t> by Sales</a:t>
          </a:r>
        </a:p>
        <a:p>
          <a:endParaRPr lang="en-US" sz="2200" b="1">
            <a:solidFill>
              <a:schemeClr val="tx1"/>
            </a:solidFill>
            <a:latin typeface="Arial" panose="020B0604020202020204" pitchFamily="34" charset="0"/>
            <a:cs typeface="Arial" panose="020B0604020202020204" pitchFamily="34" charset="0"/>
          </a:endParaRPr>
        </a:p>
      </xdr:txBody>
    </xdr:sp>
    <xdr:clientData/>
  </xdr:twoCellAnchor>
  <xdr:twoCellAnchor>
    <xdr:from>
      <xdr:col>5</xdr:col>
      <xdr:colOff>308957</xdr:colOff>
      <xdr:row>28</xdr:row>
      <xdr:rowOff>37218</xdr:rowOff>
    </xdr:from>
    <xdr:to>
      <xdr:col>24</xdr:col>
      <xdr:colOff>538788</xdr:colOff>
      <xdr:row>32</xdr:row>
      <xdr:rowOff>-1</xdr:rowOff>
    </xdr:to>
    <xdr:sp macro="" textlink="">
      <xdr:nvSpPr>
        <xdr:cNvPr id="33" name="TextBox 32"/>
        <xdr:cNvSpPr txBox="1"/>
      </xdr:nvSpPr>
      <xdr:spPr>
        <a:xfrm>
          <a:off x="3387745" y="5425097"/>
          <a:ext cx="11929225" cy="732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i="0" u="none" strike="noStrike">
              <a:solidFill>
                <a:schemeClr val="accent2">
                  <a:lumMod val="50000"/>
                </a:schemeClr>
              </a:solidFill>
              <a:effectLst>
                <a:glow rad="101600">
                  <a:schemeClr val="accent2">
                    <a:satMod val="175000"/>
                    <a:alpha val="40000"/>
                  </a:schemeClr>
                </a:glow>
              </a:effectLst>
              <a:latin typeface="Arial" panose="020B0604020202020204" pitchFamily="34" charset="0"/>
              <a:ea typeface="+mn-ea"/>
              <a:cs typeface="Arial" panose="020B0604020202020204" pitchFamily="34" charset="0"/>
            </a:rPr>
            <a:t>Swiggy Sales Dashboard </a:t>
          </a:r>
          <a:endParaRPr lang="en-US" sz="3600" b="1">
            <a:solidFill>
              <a:schemeClr val="accent2">
                <a:lumMod val="50000"/>
              </a:schemeClr>
            </a:solidFill>
            <a:effectLst>
              <a:glow rad="101600">
                <a:schemeClr val="accent2">
                  <a:satMod val="175000"/>
                  <a:alpha val="40000"/>
                </a:schemeClr>
              </a:glow>
            </a:effectLst>
            <a:latin typeface="Arial" panose="020B0604020202020204" pitchFamily="34" charset="0"/>
            <a:cs typeface="Arial" panose="020B0604020202020204" pitchFamily="34" charset="0"/>
          </a:endParaRPr>
        </a:p>
      </xdr:txBody>
    </xdr:sp>
    <xdr:clientData/>
  </xdr:twoCellAnchor>
  <xdr:twoCellAnchor editAs="oneCell">
    <xdr:from>
      <xdr:col>30</xdr:col>
      <xdr:colOff>190810</xdr:colOff>
      <xdr:row>2</xdr:row>
      <xdr:rowOff>18046</xdr:rowOff>
    </xdr:from>
    <xdr:to>
      <xdr:col>30</xdr:col>
      <xdr:colOff>559960</xdr:colOff>
      <xdr:row>4</xdr:row>
      <xdr:rowOff>15488</xdr:rowOff>
    </xdr:to>
    <xdr:pic>
      <xdr:nvPicPr>
        <xdr:cNvPr id="34" name="Picture 33"/>
        <xdr:cNvPicPr>
          <a:picLocks noChangeAspect="1"/>
        </xdr:cNvPicPr>
      </xdr:nvPicPr>
      <xdr:blipFill>
        <a:blip xmlns:r="http://schemas.openxmlformats.org/officeDocument/2006/relationships" r:embed="rId5"/>
        <a:stretch>
          <a:fillRect/>
        </a:stretch>
      </xdr:blipFill>
      <xdr:spPr>
        <a:xfrm>
          <a:off x="18311542" y="389753"/>
          <a:ext cx="369150" cy="369150"/>
        </a:xfrm>
        <a:prstGeom prst="rect">
          <a:avLst/>
        </a:prstGeom>
      </xdr:spPr>
    </xdr:pic>
    <xdr:clientData/>
  </xdr:twoCellAnchor>
  <xdr:twoCellAnchor>
    <xdr:from>
      <xdr:col>3</xdr:col>
      <xdr:colOff>119302</xdr:colOff>
      <xdr:row>55</xdr:row>
      <xdr:rowOff>12705</xdr:rowOff>
    </xdr:from>
    <xdr:to>
      <xdr:col>9</xdr:col>
      <xdr:colOff>606136</xdr:colOff>
      <xdr:row>63</xdr:row>
      <xdr:rowOff>119303</xdr:rowOff>
    </xdr:to>
    <xdr:sp macro="" textlink="">
      <xdr:nvSpPr>
        <xdr:cNvPr id="40" name="Rounded Rectangle 39"/>
        <xdr:cNvSpPr/>
      </xdr:nvSpPr>
      <xdr:spPr>
        <a:xfrm>
          <a:off x="1966575" y="10596038"/>
          <a:ext cx="4181379" cy="1645992"/>
        </a:xfrm>
        <a:prstGeom prst="roundRect">
          <a:avLst/>
        </a:prstGeom>
        <a:gradFill flip="none"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18900000" scaled="1"/>
          <a:tileRect/>
        </a:gradFill>
        <a:ln>
          <a:noFill/>
        </a:ln>
        <a:effectLst>
          <a:glow rad="101600">
            <a:schemeClr val="accent3">
              <a:satMod val="175000"/>
              <a:alpha val="40000"/>
            </a:schemeClr>
          </a:glow>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295397</xdr:colOff>
      <xdr:row>55</xdr:row>
      <xdr:rowOff>47726</xdr:rowOff>
    </xdr:from>
    <xdr:to>
      <xdr:col>24</xdr:col>
      <xdr:colOff>168228</xdr:colOff>
      <xdr:row>63</xdr:row>
      <xdr:rowOff>152400</xdr:rowOff>
    </xdr:to>
    <xdr:sp macro="" textlink="">
      <xdr:nvSpPr>
        <xdr:cNvPr id="44" name="Rounded Rectangle 43"/>
        <xdr:cNvSpPr/>
      </xdr:nvSpPr>
      <xdr:spPr>
        <a:xfrm>
          <a:off x="10730564" y="10525226"/>
          <a:ext cx="4169664" cy="1628674"/>
        </a:xfrm>
        <a:prstGeom prst="roundRect">
          <a:avLst/>
        </a:prstGeom>
        <a:gradFill flip="none"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18900000" scaled="1"/>
          <a:tileRect/>
        </a:gradFill>
        <a:ln>
          <a:noFill/>
        </a:ln>
        <a:effectLst>
          <a:glow rad="101600">
            <a:schemeClr val="accent3">
              <a:satMod val="175000"/>
              <a:alpha val="40000"/>
            </a:schemeClr>
          </a:glow>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230358</xdr:colOff>
      <xdr:row>55</xdr:row>
      <xdr:rowOff>30792</xdr:rowOff>
    </xdr:from>
    <xdr:to>
      <xdr:col>17</xdr:col>
      <xdr:colOff>103188</xdr:colOff>
      <xdr:row>63</xdr:row>
      <xdr:rowOff>135466</xdr:rowOff>
    </xdr:to>
    <xdr:sp macro="" textlink="">
      <xdr:nvSpPr>
        <xdr:cNvPr id="45" name="Rounded Rectangle 44"/>
        <xdr:cNvSpPr/>
      </xdr:nvSpPr>
      <xdr:spPr>
        <a:xfrm>
          <a:off x="6387934" y="10614125"/>
          <a:ext cx="4183133" cy="1644068"/>
        </a:xfrm>
        <a:prstGeom prst="roundRect">
          <a:avLst/>
        </a:prstGeom>
        <a:gradFill flip="none"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18900000" scaled="1"/>
          <a:tileRect/>
        </a:gradFill>
        <a:ln>
          <a:noFill/>
        </a:ln>
        <a:effectLst>
          <a:glow rad="101600">
            <a:schemeClr val="accent3">
              <a:satMod val="175000"/>
              <a:alpha val="40000"/>
            </a:schemeClr>
          </a:glow>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409698</xdr:colOff>
      <xdr:row>55</xdr:row>
      <xdr:rowOff>13860</xdr:rowOff>
    </xdr:from>
    <xdr:to>
      <xdr:col>31</xdr:col>
      <xdr:colOff>282529</xdr:colOff>
      <xdr:row>63</xdr:row>
      <xdr:rowOff>118534</xdr:rowOff>
    </xdr:to>
    <xdr:sp macro="" textlink="">
      <xdr:nvSpPr>
        <xdr:cNvPr id="46" name="Rounded Rectangle 45"/>
        <xdr:cNvSpPr/>
      </xdr:nvSpPr>
      <xdr:spPr>
        <a:xfrm>
          <a:off x="15141698" y="10491360"/>
          <a:ext cx="4169664" cy="1628674"/>
        </a:xfrm>
        <a:prstGeom prst="roundRect">
          <a:avLst/>
        </a:prstGeom>
        <a:gradFill flip="none"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18900000" scaled="1"/>
          <a:tileRect/>
        </a:gradFill>
        <a:ln>
          <a:noFill/>
        </a:ln>
        <a:effectLst>
          <a:glow rad="101600">
            <a:schemeClr val="accent3">
              <a:satMod val="175000"/>
              <a:alpha val="40000"/>
            </a:schemeClr>
          </a:glow>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409865</xdr:colOff>
      <xdr:row>55</xdr:row>
      <xdr:rowOff>161637</xdr:rowOff>
    </xdr:from>
    <xdr:to>
      <xdr:col>9</xdr:col>
      <xdr:colOff>48108</xdr:colOff>
      <xdr:row>59</xdr:row>
      <xdr:rowOff>98137</xdr:rowOff>
    </xdr:to>
    <xdr:sp macro="" textlink="">
      <xdr:nvSpPr>
        <xdr:cNvPr id="47" name="TextBox 46"/>
        <xdr:cNvSpPr txBox="1"/>
      </xdr:nvSpPr>
      <xdr:spPr>
        <a:xfrm>
          <a:off x="2257138" y="10744970"/>
          <a:ext cx="3332788" cy="706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chemeClr val="bg1"/>
              </a:solidFill>
              <a:latin typeface="Arial" panose="020B0604020202020204" pitchFamily="34" charset="0"/>
              <a:cs typeface="Arial" panose="020B0604020202020204" pitchFamily="34" charset="0"/>
            </a:rPr>
            <a:t>Total sales</a:t>
          </a:r>
        </a:p>
      </xdr:txBody>
    </xdr:sp>
    <xdr:clientData/>
  </xdr:twoCellAnchor>
  <xdr:twoCellAnchor>
    <xdr:from>
      <xdr:col>10</xdr:col>
      <xdr:colOff>232834</xdr:colOff>
      <xdr:row>56</xdr:row>
      <xdr:rowOff>84667</xdr:rowOff>
    </xdr:from>
    <xdr:to>
      <xdr:col>16</xdr:col>
      <xdr:colOff>359834</xdr:colOff>
      <xdr:row>59</xdr:row>
      <xdr:rowOff>169334</xdr:rowOff>
    </xdr:to>
    <xdr:sp macro="" textlink="">
      <xdr:nvSpPr>
        <xdr:cNvPr id="48" name="TextBox 47"/>
        <xdr:cNvSpPr txBox="1"/>
      </xdr:nvSpPr>
      <xdr:spPr>
        <a:xfrm>
          <a:off x="6371167" y="10752667"/>
          <a:ext cx="3810000" cy="656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chemeClr val="bg1"/>
              </a:solidFill>
              <a:latin typeface="Arial" panose="020B0604020202020204" pitchFamily="34" charset="0"/>
              <a:cs typeface="Arial" panose="020B0604020202020204" pitchFamily="34" charset="0"/>
            </a:rPr>
            <a:t>Total orders</a:t>
          </a:r>
        </a:p>
        <a:p>
          <a:endParaRPr lang="en-US" sz="1100"/>
        </a:p>
      </xdr:txBody>
    </xdr:sp>
    <xdr:clientData/>
  </xdr:twoCellAnchor>
  <xdr:twoCellAnchor>
    <xdr:from>
      <xdr:col>17</xdr:col>
      <xdr:colOff>338667</xdr:colOff>
      <xdr:row>56</xdr:row>
      <xdr:rowOff>105834</xdr:rowOff>
    </xdr:from>
    <xdr:to>
      <xdr:col>24</xdr:col>
      <xdr:colOff>169334</xdr:colOff>
      <xdr:row>59</xdr:row>
      <xdr:rowOff>21167</xdr:rowOff>
    </xdr:to>
    <xdr:sp macro="" textlink="">
      <xdr:nvSpPr>
        <xdr:cNvPr id="49" name="TextBox 48"/>
        <xdr:cNvSpPr txBox="1"/>
      </xdr:nvSpPr>
      <xdr:spPr>
        <a:xfrm>
          <a:off x="10773834" y="10773834"/>
          <a:ext cx="4127500"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000" b="1">
              <a:solidFill>
                <a:schemeClr val="bg1"/>
              </a:solidFill>
              <a:latin typeface="Arial" panose="020B0604020202020204" pitchFamily="34" charset="0"/>
              <a:cs typeface="Arial" panose="020B0604020202020204" pitchFamily="34" charset="0"/>
            </a:rPr>
            <a:t>Average order value</a:t>
          </a:r>
        </a:p>
        <a:p>
          <a:endParaRPr lang="en-US" sz="1100"/>
        </a:p>
      </xdr:txBody>
    </xdr:sp>
    <xdr:clientData/>
  </xdr:twoCellAnchor>
  <xdr:twoCellAnchor>
    <xdr:from>
      <xdr:col>24</xdr:col>
      <xdr:colOff>444500</xdr:colOff>
      <xdr:row>56</xdr:row>
      <xdr:rowOff>105834</xdr:rowOff>
    </xdr:from>
    <xdr:to>
      <xdr:col>31</xdr:col>
      <xdr:colOff>338667</xdr:colOff>
      <xdr:row>58</xdr:row>
      <xdr:rowOff>169334</xdr:rowOff>
    </xdr:to>
    <xdr:sp macro="" textlink="">
      <xdr:nvSpPr>
        <xdr:cNvPr id="50" name="TextBox 49"/>
        <xdr:cNvSpPr txBox="1"/>
      </xdr:nvSpPr>
      <xdr:spPr>
        <a:xfrm>
          <a:off x="15176500" y="10773834"/>
          <a:ext cx="41910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chemeClr val="bg1"/>
              </a:solidFill>
              <a:latin typeface="Arial" panose="020B0604020202020204" pitchFamily="34" charset="0"/>
              <a:cs typeface="Arial" panose="020B0604020202020204" pitchFamily="34" charset="0"/>
            </a:rPr>
            <a:t>Average delivery time</a:t>
          </a:r>
        </a:p>
      </xdr:txBody>
    </xdr:sp>
    <xdr:clientData/>
  </xdr:twoCellAnchor>
  <xdr:twoCellAnchor editAs="oneCell">
    <xdr:from>
      <xdr:col>8</xdr:col>
      <xdr:colOff>67349</xdr:colOff>
      <xdr:row>55</xdr:row>
      <xdr:rowOff>183963</xdr:rowOff>
    </xdr:from>
    <xdr:to>
      <xdr:col>9</xdr:col>
      <xdr:colOff>86224</xdr:colOff>
      <xdr:row>59</xdr:row>
      <xdr:rowOff>11547</xdr:rowOff>
    </xdr:to>
    <xdr:pic>
      <xdr:nvPicPr>
        <xdr:cNvPr id="54" name="Picture 53"/>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10000" b="90000" l="10000" r="90000"/>
                  </a14:imgEffect>
                </a14:imgLayer>
              </a14:imgProps>
            </a:ext>
          </a:extLst>
        </a:blip>
        <a:stretch>
          <a:fillRect/>
        </a:stretch>
      </xdr:blipFill>
      <xdr:spPr>
        <a:xfrm>
          <a:off x="4993410" y="10767296"/>
          <a:ext cx="634632" cy="597281"/>
        </a:xfrm>
        <a:prstGeom prst="rect">
          <a:avLst/>
        </a:prstGeom>
      </xdr:spPr>
    </xdr:pic>
    <xdr:clientData/>
  </xdr:twoCellAnchor>
  <xdr:twoCellAnchor editAs="oneCell">
    <xdr:from>
      <xdr:col>15</xdr:col>
      <xdr:colOff>148166</xdr:colOff>
      <xdr:row>56</xdr:row>
      <xdr:rowOff>126999</xdr:rowOff>
    </xdr:from>
    <xdr:to>
      <xdr:col>16</xdr:col>
      <xdr:colOff>63500</xdr:colOff>
      <xdr:row>59</xdr:row>
      <xdr:rowOff>98807</xdr:rowOff>
    </xdr:to>
    <xdr:pic>
      <xdr:nvPicPr>
        <xdr:cNvPr id="55" name="Picture 54" descr="Checkout - Free commerce and shopping icons"/>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355666" y="10794999"/>
          <a:ext cx="529167" cy="543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83731</xdr:colOff>
      <xdr:row>59</xdr:row>
      <xdr:rowOff>111225</xdr:rowOff>
    </xdr:from>
    <xdr:to>
      <xdr:col>24</xdr:col>
      <xdr:colOff>14839</xdr:colOff>
      <xdr:row>62</xdr:row>
      <xdr:rowOff>84666</xdr:rowOff>
    </xdr:to>
    <xdr:pic>
      <xdr:nvPicPr>
        <xdr:cNvPr id="56" name="Picture 55"/>
        <xdr:cNvPicPr>
          <a:picLocks noChangeAspect="1"/>
        </xdr:cNvPicPr>
      </xdr:nvPicPr>
      <xdr:blipFill>
        <a:blip xmlns:r="http://schemas.openxmlformats.org/officeDocument/2006/relationships" r:embed="rId9"/>
        <a:stretch>
          <a:fillRect/>
        </a:stretch>
      </xdr:blipFill>
      <xdr:spPr>
        <a:xfrm>
          <a:off x="14201898" y="11350725"/>
          <a:ext cx="544941" cy="544941"/>
        </a:xfrm>
        <a:prstGeom prst="rect">
          <a:avLst/>
        </a:prstGeom>
      </xdr:spPr>
    </xdr:pic>
    <xdr:clientData/>
  </xdr:twoCellAnchor>
  <xdr:twoCellAnchor editAs="oneCell">
    <xdr:from>
      <xdr:col>30</xdr:col>
      <xdr:colOff>219199</xdr:colOff>
      <xdr:row>59</xdr:row>
      <xdr:rowOff>77358</xdr:rowOff>
    </xdr:from>
    <xdr:to>
      <xdr:col>31</xdr:col>
      <xdr:colOff>127000</xdr:colOff>
      <xdr:row>61</xdr:row>
      <xdr:rowOff>163531</xdr:rowOff>
    </xdr:to>
    <xdr:pic>
      <xdr:nvPicPr>
        <xdr:cNvPr id="57" name="Picture 56"/>
        <xdr:cNvPicPr>
          <a:picLocks noChangeAspect="1"/>
        </xdr:cNvPicPr>
      </xdr:nvPicPr>
      <xdr:blipFill rotWithShape="1">
        <a:blip xmlns:r="http://schemas.openxmlformats.org/officeDocument/2006/relationships" r:embed="rId10"/>
        <a:srcRect b="10441"/>
        <a:stretch/>
      </xdr:blipFill>
      <xdr:spPr>
        <a:xfrm>
          <a:off x="18634199" y="11316858"/>
          <a:ext cx="521634" cy="467173"/>
        </a:xfrm>
        <a:prstGeom prst="rect">
          <a:avLst/>
        </a:prstGeom>
      </xdr:spPr>
    </xdr:pic>
    <xdr:clientData/>
  </xdr:twoCellAnchor>
  <xdr:twoCellAnchor>
    <xdr:from>
      <xdr:col>3</xdr:col>
      <xdr:colOff>379076</xdr:colOff>
      <xdr:row>59</xdr:row>
      <xdr:rowOff>98137</xdr:rowOff>
    </xdr:from>
    <xdr:to>
      <xdr:col>9</xdr:col>
      <xdr:colOff>273243</xdr:colOff>
      <xdr:row>62</xdr:row>
      <xdr:rowOff>76969</xdr:rowOff>
    </xdr:to>
    <xdr:sp macro="" textlink="Analysis!A7">
      <xdr:nvSpPr>
        <xdr:cNvPr id="58" name="TextBox 57"/>
        <xdr:cNvSpPr txBox="1"/>
      </xdr:nvSpPr>
      <xdr:spPr>
        <a:xfrm>
          <a:off x="2226349" y="11451167"/>
          <a:ext cx="3588712" cy="556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513E19-18BC-40FE-B4E1-0D56285994EF}" type="TxLink">
            <a:rPr lang="en-US" sz="3400" b="1" i="0" u="none" strike="noStrike">
              <a:solidFill>
                <a:schemeClr val="bg1"/>
              </a:solidFill>
              <a:latin typeface="Arial" panose="020B0604020202020204" pitchFamily="34" charset="0"/>
              <a:cs typeface="Arial" panose="020B0604020202020204" pitchFamily="34" charset="0"/>
            </a:rPr>
            <a:pPr algn="ctr"/>
            <a:t>₹141,181</a:t>
          </a:fld>
          <a:endParaRPr lang="en-US" sz="3400" b="1">
            <a:solidFill>
              <a:schemeClr val="bg1"/>
            </a:solidFill>
            <a:latin typeface="Arial" panose="020B0604020202020204" pitchFamily="34" charset="0"/>
            <a:cs typeface="Arial" panose="020B0604020202020204" pitchFamily="34" charset="0"/>
          </a:endParaRPr>
        </a:p>
      </xdr:txBody>
    </xdr:sp>
    <xdr:clientData/>
  </xdr:twoCellAnchor>
  <xdr:twoCellAnchor>
    <xdr:from>
      <xdr:col>10</xdr:col>
      <xdr:colOff>359834</xdr:colOff>
      <xdr:row>60</xdr:row>
      <xdr:rowOff>0</xdr:rowOff>
    </xdr:from>
    <xdr:to>
      <xdr:col>16</xdr:col>
      <xdr:colOff>571500</xdr:colOff>
      <xdr:row>62</xdr:row>
      <xdr:rowOff>148167</xdr:rowOff>
    </xdr:to>
    <xdr:sp macro="" textlink="Analysis!B7">
      <xdr:nvSpPr>
        <xdr:cNvPr id="59" name="TextBox 58"/>
        <xdr:cNvSpPr txBox="1"/>
      </xdr:nvSpPr>
      <xdr:spPr>
        <a:xfrm>
          <a:off x="6517410" y="11545455"/>
          <a:ext cx="3906211" cy="533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04086B-0DC8-451C-A51E-0324B829C465}" type="TxLink">
            <a:rPr lang="en-US" sz="3400" b="1" i="0" u="none" strike="noStrike">
              <a:solidFill>
                <a:schemeClr val="bg1"/>
              </a:solidFill>
              <a:latin typeface="Arial" panose="020B0604020202020204" pitchFamily="34" charset="0"/>
              <a:cs typeface="Arial" panose="020B0604020202020204" pitchFamily="34" charset="0"/>
            </a:rPr>
            <a:pPr algn="ctr"/>
            <a:t>200</a:t>
          </a:fld>
          <a:endParaRPr lang="en-US" sz="3400" b="1">
            <a:solidFill>
              <a:schemeClr val="bg1"/>
            </a:solidFill>
            <a:latin typeface="Arial" panose="020B0604020202020204" pitchFamily="34" charset="0"/>
            <a:cs typeface="Arial" panose="020B0604020202020204" pitchFamily="34" charset="0"/>
          </a:endParaRPr>
        </a:p>
      </xdr:txBody>
    </xdr:sp>
    <xdr:clientData/>
  </xdr:twoCellAnchor>
  <xdr:twoCellAnchor>
    <xdr:from>
      <xdr:col>18</xdr:col>
      <xdr:colOff>63500</xdr:colOff>
      <xdr:row>60</xdr:row>
      <xdr:rowOff>0</xdr:rowOff>
    </xdr:from>
    <xdr:to>
      <xdr:col>23</xdr:col>
      <xdr:colOff>254000</xdr:colOff>
      <xdr:row>62</xdr:row>
      <xdr:rowOff>126999</xdr:rowOff>
    </xdr:to>
    <xdr:sp macro="" textlink="Analysis!C7">
      <xdr:nvSpPr>
        <xdr:cNvPr id="60" name="TextBox 59"/>
        <xdr:cNvSpPr txBox="1"/>
      </xdr:nvSpPr>
      <xdr:spPr>
        <a:xfrm>
          <a:off x="11112500" y="11430000"/>
          <a:ext cx="3259667" cy="507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8206DA-41E5-465C-8A60-F9592B99B4CA}" type="TxLink">
            <a:rPr lang="en-US" sz="3400" b="1" i="0" u="none" strike="noStrike">
              <a:solidFill>
                <a:schemeClr val="bg1"/>
              </a:solidFill>
              <a:latin typeface="Arial" panose="020B0604020202020204" pitchFamily="34" charset="0"/>
              <a:cs typeface="Arial" panose="020B0604020202020204" pitchFamily="34" charset="0"/>
            </a:rPr>
            <a:pPr algn="ctr"/>
            <a:t>₹856</a:t>
          </a:fld>
          <a:endParaRPr lang="en-US" sz="3400" b="1">
            <a:solidFill>
              <a:schemeClr val="bg1"/>
            </a:solidFill>
            <a:latin typeface="Arial" panose="020B0604020202020204" pitchFamily="34" charset="0"/>
            <a:cs typeface="Arial" panose="020B0604020202020204" pitchFamily="34" charset="0"/>
          </a:endParaRPr>
        </a:p>
      </xdr:txBody>
    </xdr:sp>
    <xdr:clientData/>
  </xdr:twoCellAnchor>
  <xdr:twoCellAnchor>
    <xdr:from>
      <xdr:col>25</xdr:col>
      <xdr:colOff>211667</xdr:colOff>
      <xdr:row>59</xdr:row>
      <xdr:rowOff>105833</xdr:rowOff>
    </xdr:from>
    <xdr:to>
      <xdr:col>30</xdr:col>
      <xdr:colOff>254000</xdr:colOff>
      <xdr:row>62</xdr:row>
      <xdr:rowOff>63500</xdr:rowOff>
    </xdr:to>
    <xdr:sp macro="" textlink="Analysis!D7">
      <xdr:nvSpPr>
        <xdr:cNvPr id="61" name="TextBox 60"/>
        <xdr:cNvSpPr txBox="1"/>
      </xdr:nvSpPr>
      <xdr:spPr>
        <a:xfrm>
          <a:off x="15557500" y="11345333"/>
          <a:ext cx="3111500" cy="52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2F9BC6-36E9-4AFD-9D53-ED38BAB38D61}" type="TxLink">
            <a:rPr lang="en-US" sz="3400" b="1" i="0" u="none" strike="noStrike">
              <a:solidFill>
                <a:schemeClr val="bg1"/>
              </a:solidFill>
              <a:latin typeface="Arial" panose="020B0604020202020204" pitchFamily="34" charset="0"/>
              <a:cs typeface="Arial" panose="020B0604020202020204" pitchFamily="34" charset="0"/>
            </a:rPr>
            <a:pPr algn="ctr"/>
            <a:t>44.745</a:t>
          </a:fld>
          <a:endParaRPr lang="en-US" sz="3400" b="1">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17547</xdr:colOff>
      <xdr:row>8</xdr:row>
      <xdr:rowOff>187013</xdr:rowOff>
    </xdr:from>
    <xdr:to>
      <xdr:col>13</xdr:col>
      <xdr:colOff>96213</xdr:colOff>
      <xdr:row>28</xdr:row>
      <xdr:rowOff>19241</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223815</xdr:colOff>
      <xdr:row>8</xdr:row>
      <xdr:rowOff>76971</xdr:rowOff>
    </xdr:from>
    <xdr:to>
      <xdr:col>18</xdr:col>
      <xdr:colOff>519546</xdr:colOff>
      <xdr:row>27</xdr:row>
      <xdr:rowOff>153940</xdr:rowOff>
    </xdr:to>
    <xdr:graphicFrame macro="">
      <xdr:nvGraphicFramePr>
        <xdr:cNvPr id="63" name="Chart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538789</xdr:colOff>
      <xdr:row>36</xdr:row>
      <xdr:rowOff>19242</xdr:rowOff>
    </xdr:from>
    <xdr:to>
      <xdr:col>12</xdr:col>
      <xdr:colOff>461818</xdr:colOff>
      <xdr:row>53</xdr:row>
      <xdr:rowOff>76970</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38485</xdr:colOff>
      <xdr:row>8</xdr:row>
      <xdr:rowOff>96212</xdr:rowOff>
    </xdr:from>
    <xdr:to>
      <xdr:col>27</xdr:col>
      <xdr:colOff>57728</xdr:colOff>
      <xdr:row>27</xdr:row>
      <xdr:rowOff>153939</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558029</xdr:colOff>
      <xdr:row>32</xdr:row>
      <xdr:rowOff>96211</xdr:rowOff>
    </xdr:from>
    <xdr:to>
      <xdr:col>21</xdr:col>
      <xdr:colOff>538788</xdr:colOff>
      <xdr:row>53</xdr:row>
      <xdr:rowOff>57728</xdr:rowOff>
    </xdr:to>
    <xdr:graphicFrame macro="">
      <xdr:nvGraphicFramePr>
        <xdr:cNvPr id="66" name="Chart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-1</xdr:colOff>
      <xdr:row>32</xdr:row>
      <xdr:rowOff>83902</xdr:rowOff>
    </xdr:from>
    <xdr:to>
      <xdr:col>27</xdr:col>
      <xdr:colOff>173318</xdr:colOff>
      <xdr:row>53</xdr:row>
      <xdr:rowOff>76971</xdr:rowOff>
    </xdr:to>
    <xdr:graphicFrame macro="">
      <xdr:nvGraphicFramePr>
        <xdr:cNvPr id="67" name="Chart 6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0.41991</cdr:x>
      <cdr:y>0.01715</cdr:y>
    </cdr:from>
    <cdr:to>
      <cdr:x>1</cdr:x>
      <cdr:y>0.12171</cdr:y>
    </cdr:to>
    <cdr:sp macro="" textlink="">
      <cdr:nvSpPr>
        <cdr:cNvPr id="2" name="TextBox 1"/>
        <cdr:cNvSpPr txBox="1"/>
      </cdr:nvSpPr>
      <cdr:spPr>
        <a:xfrm xmlns:a="http://schemas.openxmlformats.org/drawingml/2006/main">
          <a:off x="2618665" y="63139"/>
          <a:ext cx="3617576" cy="384848"/>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US" sz="2000" b="1">
              <a:solidFill>
                <a:schemeClr val="bg1"/>
              </a:solidFill>
              <a:latin typeface="Arial" panose="020B0604020202020204" pitchFamily="34" charset="0"/>
              <a:cs typeface="Arial" panose="020B0604020202020204" pitchFamily="34" charset="0"/>
            </a:rPr>
            <a:t>Sales</a:t>
          </a:r>
          <a:r>
            <a:rPr lang="en-US" sz="2000" b="1" baseline="0">
              <a:solidFill>
                <a:schemeClr val="bg1"/>
              </a:solidFill>
              <a:latin typeface="Arial" panose="020B0604020202020204" pitchFamily="34" charset="0"/>
              <a:cs typeface="Arial" panose="020B0604020202020204" pitchFamily="34" charset="0"/>
            </a:rPr>
            <a:t> Trend over time</a:t>
          </a:r>
          <a:endParaRPr lang="en-US" sz="2000" b="1">
            <a:solidFill>
              <a:schemeClr val="bg1"/>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0.22198</cdr:x>
      <cdr:y>0.09401</cdr:y>
    </cdr:from>
    <cdr:to>
      <cdr:x>0.95393</cdr:x>
      <cdr:y>0.18994</cdr:y>
    </cdr:to>
    <cdr:sp macro="" textlink="">
      <cdr:nvSpPr>
        <cdr:cNvPr id="2" name="TextBox 1"/>
        <cdr:cNvSpPr txBox="1"/>
      </cdr:nvSpPr>
      <cdr:spPr>
        <a:xfrm xmlns:a="http://schemas.openxmlformats.org/drawingml/2006/main">
          <a:off x="834520" y="339432"/>
          <a:ext cx="2751666" cy="34636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b="1">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0.01921</cdr:x>
      <cdr:y>0.06203</cdr:y>
    </cdr:from>
    <cdr:to>
      <cdr:x>0.98976</cdr:x>
      <cdr:y>0.13917</cdr:y>
    </cdr:to>
    <cdr:sp macro="" textlink="">
      <cdr:nvSpPr>
        <cdr:cNvPr id="3" name="TextBox 2"/>
        <cdr:cNvSpPr txBox="1"/>
      </cdr:nvSpPr>
      <cdr:spPr>
        <a:xfrm xmlns:a="http://schemas.openxmlformats.org/drawingml/2006/main">
          <a:off x="64822" y="231569"/>
          <a:ext cx="3275152" cy="287975"/>
        </a:xfrm>
        <a:prstGeom xmlns:a="http://schemas.openxmlformats.org/drawingml/2006/main" prst="rect">
          <a:avLst/>
        </a:prstGeom>
        <a:solidFill xmlns:a="http://schemas.openxmlformats.org/drawingml/2006/main">
          <a:schemeClr val="accent6">
            <a:lumMod val="40000"/>
            <a:lumOff val="60000"/>
          </a:schemeClr>
        </a:solidFill>
      </cdr:spPr>
      <cdr:txBody>
        <a:bodyPr xmlns:a="http://schemas.openxmlformats.org/drawingml/2006/main" vertOverflow="clip" wrap="square" rtlCol="0"/>
        <a:lstStyle xmlns:a="http://schemas.openxmlformats.org/drawingml/2006/main"/>
        <a:p xmlns:a="http://schemas.openxmlformats.org/drawingml/2006/main">
          <a:r>
            <a:rPr lang="en-US" sz="1800" b="1">
              <a:latin typeface="Arial" panose="020B0604020202020204" pitchFamily="34" charset="0"/>
              <a:cs typeface="Arial" panose="020B0604020202020204" pitchFamily="34" charset="0"/>
            </a:rPr>
            <a:t>Orders by Payment method</a:t>
          </a:r>
        </a:p>
      </cdr:txBody>
    </cdr:sp>
  </cdr:relSizeAnchor>
</c:userShapes>
</file>

<file path=xl/drawings/drawing4.xml><?xml version="1.0" encoding="utf-8"?>
<c:userShapes xmlns:c="http://schemas.openxmlformats.org/drawingml/2006/chart">
  <cdr:relSizeAnchor xmlns:cdr="http://schemas.openxmlformats.org/drawingml/2006/chartDrawing">
    <cdr:from>
      <cdr:x>0.15953</cdr:x>
      <cdr:y>0.01554</cdr:y>
    </cdr:from>
    <cdr:to>
      <cdr:x>0.97276</cdr:x>
      <cdr:y>0.11399</cdr:y>
    </cdr:to>
    <cdr:sp macro="" textlink="">
      <cdr:nvSpPr>
        <cdr:cNvPr id="2" name="TextBox 1"/>
        <cdr:cNvSpPr txBox="1"/>
      </cdr:nvSpPr>
      <cdr:spPr>
        <a:xfrm xmlns:a="http://schemas.openxmlformats.org/drawingml/2006/main">
          <a:off x="788939" y="57726"/>
          <a:ext cx="4021667" cy="365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US" sz="1800" b="1">
              <a:latin typeface="Arial" panose="020B0604020202020204" pitchFamily="34" charset="0"/>
              <a:cs typeface="Arial" panose="020B0604020202020204" pitchFamily="34" charset="0"/>
            </a:rPr>
            <a:t>Delivered vs Cancelled</a:t>
          </a:r>
          <a:r>
            <a:rPr lang="en-US" sz="1800" b="1" baseline="0">
              <a:latin typeface="Arial" panose="020B0604020202020204" pitchFamily="34" charset="0"/>
              <a:cs typeface="Arial" panose="020B0604020202020204" pitchFamily="34" charset="0"/>
            </a:rPr>
            <a:t> orders</a:t>
          </a:r>
          <a:endParaRPr lang="en-US" sz="1800" b="1">
            <a:latin typeface="Arial" panose="020B0604020202020204" pitchFamily="34" charset="0"/>
            <a:cs typeface="Arial" panose="020B06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0.21007</cdr:x>
      <cdr:y>0.01372</cdr:y>
    </cdr:from>
    <cdr:to>
      <cdr:x>0.92836</cdr:x>
      <cdr:y>0.12495</cdr:y>
    </cdr:to>
    <cdr:sp macro="" textlink="">
      <cdr:nvSpPr>
        <cdr:cNvPr id="2" name="TextBox 1"/>
        <cdr:cNvSpPr txBox="1"/>
      </cdr:nvSpPr>
      <cdr:spPr>
        <a:xfrm xmlns:a="http://schemas.openxmlformats.org/drawingml/2006/main">
          <a:off x="984251" y="33565"/>
          <a:ext cx="3365500" cy="272143"/>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en-US" sz="1800" b="1">
              <a:solidFill>
                <a:srgbClr val="993366"/>
              </a:solidFill>
              <a:latin typeface="Arial" panose="020B0604020202020204" pitchFamily="34" charset="0"/>
              <a:cs typeface="Arial" panose="020B0604020202020204" pitchFamily="34" charset="0"/>
            </a:rPr>
            <a:t>Orders</a:t>
          </a:r>
          <a:r>
            <a:rPr lang="en-US" sz="1800" b="1" baseline="0">
              <a:solidFill>
                <a:srgbClr val="993366"/>
              </a:solidFill>
              <a:latin typeface="Arial" panose="020B0604020202020204" pitchFamily="34" charset="0"/>
              <a:cs typeface="Arial" panose="020B0604020202020204" pitchFamily="34" charset="0"/>
            </a:rPr>
            <a:t> by location</a:t>
          </a:r>
          <a:endParaRPr lang="en-US" sz="1800" b="1">
            <a:solidFill>
              <a:srgbClr val="993366"/>
            </a:solidFill>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0.11838</cdr:x>
      <cdr:y>0.01736</cdr:y>
    </cdr:from>
    <cdr:to>
      <cdr:x>1</cdr:x>
      <cdr:y>0.11753</cdr:y>
    </cdr:to>
    <cdr:sp macro="" textlink="">
      <cdr:nvSpPr>
        <cdr:cNvPr id="2" name="TextBox 1"/>
        <cdr:cNvSpPr txBox="1"/>
      </cdr:nvSpPr>
      <cdr:spPr>
        <a:xfrm xmlns:a="http://schemas.openxmlformats.org/drawingml/2006/main">
          <a:off x="384986" y="70037"/>
          <a:ext cx="2867121" cy="4040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US" sz="2000" b="1">
              <a:solidFill>
                <a:schemeClr val="bg1"/>
              </a:solidFill>
              <a:latin typeface="Arial" panose="020B0604020202020204" pitchFamily="34" charset="0"/>
              <a:cs typeface="Arial" panose="020B0604020202020204" pitchFamily="34" charset="0"/>
            </a:rPr>
            <a:t>Cuisine Popularity</a:t>
          </a:r>
        </a:p>
      </cdr:txBody>
    </cdr:sp>
  </cdr:relSizeAnchor>
</c:userShapes>
</file>

<file path=xl/pivotCache/_rels/pivotCacheDefinition1.xml.rels><?xml version="1.0" encoding="UTF-8" standalone="yes"?>
<Relationships xmlns="http://schemas.openxmlformats.org/package/2006/relationships"><Relationship Id="rId2" Type="http://schemas.openxmlformats.org/officeDocument/2006/relationships/externalLinkPath" Target="Project%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90.694176504629" createdVersion="5" refreshedVersion="5" minRefreshableVersion="3" recordCount="200">
  <cacheSource type="worksheet">
    <worksheetSource name="swiggysales" r:id="rId2"/>
  </cacheSource>
  <cacheFields count="13">
    <cacheField name="Order ID" numFmtId="0">
      <sharedItems count="2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haredItems>
    </cacheField>
    <cacheField name="Order Date" numFmtId="22">
      <sharedItems containsSemiMixedTypes="0" containsNonDate="0" containsDate="1" containsString="0" minDate="2023-01-01T00:00:00" maxDate="2023-04-01T00:00:00" count="200">
        <d v="2023-01-01T00:00:00"/>
        <d v="2023-01-01T10:44:01"/>
        <d v="2023-01-01T21:28:02"/>
        <d v="2023-01-02T08:12:04"/>
        <d v="2023-01-02T18:56:05"/>
        <d v="2023-01-03T05:40:06"/>
        <d v="2023-01-03T16:24:07"/>
        <d v="2023-01-04T03:08:08"/>
        <d v="2023-01-04T13:52:10"/>
        <d v="2023-01-05T00:36:11"/>
        <d v="2023-01-05T11:20:12"/>
        <d v="2023-01-05T22:04:13"/>
        <d v="2023-01-06T08:48:14"/>
        <d v="2023-01-06T19:32:16"/>
        <d v="2023-01-07T06:16:17"/>
        <d v="2023-01-07T17:00:18"/>
        <d v="2023-01-08T03:44:19"/>
        <d v="2023-01-08T14:28:21"/>
        <d v="2023-01-09T01:12:22"/>
        <d v="2023-01-09T11:56:23"/>
        <d v="2023-01-09T22:40:24"/>
        <d v="2023-01-10T09:24:25"/>
        <d v="2023-01-10T20:08:27"/>
        <d v="2023-01-11T06:52:28"/>
        <d v="2023-01-11T17:36:29"/>
        <d v="2023-01-12T04:20:30"/>
        <d v="2023-01-12T15:04:31"/>
        <d v="2023-01-13T01:48:33"/>
        <d v="2023-01-13T12:32:34"/>
        <d v="2023-01-13T23:16:35"/>
        <d v="2023-01-14T10:00:36"/>
        <d v="2023-01-14T20:44:37"/>
        <d v="2023-01-15T07:28:39"/>
        <d v="2023-01-15T18:12:40"/>
        <d v="2023-01-16T04:56:41"/>
        <d v="2023-01-16T15:40:42"/>
        <d v="2023-01-17T02:24:43"/>
        <d v="2023-01-17T13:08:45"/>
        <d v="2023-01-17T23:52:46"/>
        <d v="2023-01-18T10:36:47"/>
        <d v="2023-01-18T21:20:48"/>
        <d v="2023-01-19T08:04:49"/>
        <d v="2023-01-19T18:48:51"/>
        <d v="2023-01-20T05:32:52"/>
        <d v="2023-01-20T16:16:53"/>
        <d v="2023-01-21T03:00:54"/>
        <d v="2023-01-21T13:44:55"/>
        <d v="2023-01-22T00:28:57"/>
        <d v="2023-01-22T11:12:58"/>
        <d v="2023-01-22T21:56:59"/>
        <d v="2023-01-23T08:41:00"/>
        <d v="2023-01-23T19:25:02"/>
        <d v="2023-01-24T06:09:03"/>
        <d v="2023-01-24T16:53:04"/>
        <d v="2023-01-25T03:37:05"/>
        <d v="2023-01-25T14:21:06"/>
        <d v="2023-01-26T01:05:08"/>
        <d v="2023-01-26T11:49:09"/>
        <d v="2023-01-26T22:33:10"/>
        <d v="2023-01-27T09:17:11"/>
        <d v="2023-01-27T20:01:12"/>
        <d v="2023-01-28T06:45:14"/>
        <d v="2023-01-28T17:29:15"/>
        <d v="2023-01-29T04:13:16"/>
        <d v="2023-01-29T14:57:17"/>
        <d v="2023-01-30T01:41:18"/>
        <d v="2023-01-30T12:25:20"/>
        <d v="2023-01-30T23:09:21"/>
        <d v="2023-01-31T09:53:22"/>
        <d v="2023-01-31T20:37:23"/>
        <d v="2023-02-01T07:21:24"/>
        <d v="2023-02-01T18:05:26"/>
        <d v="2023-02-02T04:49:27"/>
        <d v="2023-02-02T15:33:28"/>
        <d v="2023-02-03T02:17:29"/>
        <d v="2023-02-03T13:01:30"/>
        <d v="2023-02-03T23:45:32"/>
        <d v="2023-02-04T10:29:33"/>
        <d v="2023-02-04T21:13:34"/>
        <d v="2023-02-05T07:57:35"/>
        <d v="2023-02-05T18:41:36"/>
        <d v="2023-02-06T05:25:38"/>
        <d v="2023-02-06T16:09:39"/>
        <d v="2023-02-07T02:53:40"/>
        <d v="2023-02-07T13:37:41"/>
        <d v="2023-02-08T00:21:43"/>
        <d v="2023-02-08T11:05:44"/>
        <d v="2023-02-08T21:49:45"/>
        <d v="2023-02-09T08:33:46"/>
        <d v="2023-02-09T19:17:47"/>
        <d v="2023-02-10T06:01:49"/>
        <d v="2023-02-10T16:45:50"/>
        <d v="2023-02-11T03:29:51"/>
        <d v="2023-02-11T14:13:52"/>
        <d v="2023-02-12T00:57:53"/>
        <d v="2023-02-12T11:41:55"/>
        <d v="2023-02-12T22:25:56"/>
        <d v="2023-02-13T09:09:57"/>
        <d v="2023-02-13T19:53:58"/>
        <d v="2023-02-14T06:37:59"/>
        <d v="2023-02-14T17:22:01"/>
        <d v="2023-02-15T04:06:02"/>
        <d v="2023-02-15T14:50:03"/>
        <d v="2023-02-16T01:34:04"/>
        <d v="2023-02-16T12:18:05"/>
        <d v="2023-02-16T23:02:07"/>
        <d v="2023-02-17T09:46:08"/>
        <d v="2023-02-17T20:30:09"/>
        <d v="2023-02-18T07:14:10"/>
        <d v="2023-02-18T17:58:11"/>
        <d v="2023-02-19T04:42:13"/>
        <d v="2023-02-19T15:26:14"/>
        <d v="2023-02-20T02:10:15"/>
        <d v="2023-02-20T12:54:16"/>
        <d v="2023-02-20T23:38:17"/>
        <d v="2023-02-21T10:22:19"/>
        <d v="2023-02-21T21:06:20"/>
        <d v="2023-02-22T07:50:21"/>
        <d v="2023-02-22T18:34:22"/>
        <d v="2023-02-23T05:18:24"/>
        <d v="2023-02-23T16:02:25"/>
        <d v="2023-02-24T02:46:26"/>
        <d v="2023-02-24T13:30:27"/>
        <d v="2023-02-25T00:14:28"/>
        <d v="2023-02-25T10:58:30"/>
        <d v="2023-02-25T21:42:31"/>
        <d v="2023-02-26T08:26:32"/>
        <d v="2023-02-26T19:10:33"/>
        <d v="2023-02-27T05:54:34"/>
        <d v="2023-02-27T16:38:36"/>
        <d v="2023-02-28T03:22:37"/>
        <d v="2023-02-28T14:06:38"/>
        <d v="2023-03-01T00:50:39"/>
        <d v="2023-03-01T11:34:40"/>
        <d v="2023-03-01T22:18:42"/>
        <d v="2023-03-02T09:02:43"/>
        <d v="2023-03-02T19:46:44"/>
        <d v="2023-03-03T06:30:45"/>
        <d v="2023-03-03T17:14:46"/>
        <d v="2023-03-04T03:58:48"/>
        <d v="2023-03-04T14:42:49"/>
        <d v="2023-03-05T01:26:50"/>
        <d v="2023-03-05T12:10:51"/>
        <d v="2023-03-05T22:54:52"/>
        <d v="2023-03-06T09:38:54"/>
        <d v="2023-03-06T20:22:55"/>
        <d v="2023-03-07T07:06:56"/>
        <d v="2023-03-07T17:50:57"/>
        <d v="2023-03-08T04:34:58"/>
        <d v="2023-03-08T15:19:00"/>
        <d v="2023-03-09T02:03:01"/>
        <d v="2023-03-09T12:47:02"/>
        <d v="2023-03-09T23:31:03"/>
        <d v="2023-03-10T10:15:05"/>
        <d v="2023-03-10T20:59:06"/>
        <d v="2023-03-11T07:43:07"/>
        <d v="2023-03-11T18:27:08"/>
        <d v="2023-03-12T05:11:09"/>
        <d v="2023-03-12T15:55:11"/>
        <d v="2023-03-13T02:39:12"/>
        <d v="2023-03-13T13:23:13"/>
        <d v="2023-03-14T00:07:14"/>
        <d v="2023-03-14T10:51:15"/>
        <d v="2023-03-14T21:35:17"/>
        <d v="2023-03-15T08:19:18"/>
        <d v="2023-03-15T19:03:19"/>
        <d v="2023-03-16T05:47:20"/>
        <d v="2023-03-16T16:31:21"/>
        <d v="2023-03-17T03:15:23"/>
        <d v="2023-03-17T13:59:24"/>
        <d v="2023-03-18T00:43:25"/>
        <d v="2023-03-18T11:27:26"/>
        <d v="2023-03-18T22:11:27"/>
        <d v="2023-03-19T08:55:29"/>
        <d v="2023-03-19T19:39:30"/>
        <d v="2023-03-20T06:23:31"/>
        <d v="2023-03-20T17:07:32"/>
        <d v="2023-03-21T03:51:33"/>
        <d v="2023-03-21T14:35:35"/>
        <d v="2023-03-22T01:19:36"/>
        <d v="2023-03-22T12:03:37"/>
        <d v="2023-03-22T22:47:38"/>
        <d v="2023-03-23T09:31:39"/>
        <d v="2023-03-23T20:15:41"/>
        <d v="2023-03-24T06:59:42"/>
        <d v="2023-03-24T17:43:43"/>
        <d v="2023-03-25T04:27:44"/>
        <d v="2023-03-25T15:11:46"/>
        <d v="2023-03-26T01:55:47"/>
        <d v="2023-03-26T12:39:48"/>
        <d v="2023-03-26T23:23:49"/>
        <d v="2023-03-27T10:07:50"/>
        <d v="2023-03-27T20:51:52"/>
        <d v="2023-03-28T07:35:53"/>
        <d v="2023-03-28T18:19:54"/>
        <d v="2023-03-29T05:03:55"/>
        <d v="2023-03-29T15:47:56"/>
        <d v="2023-03-30T02:31:58"/>
        <d v="2023-03-30T13:15:59"/>
        <d v="2023-03-31T00:00:00"/>
      </sharedItems>
    </cacheField>
    <cacheField name="Restaurant Name" numFmtId="0">
      <sharedItems count="8">
        <s v="Biryani House"/>
        <s v="Domino's"/>
        <s v="KFC"/>
        <s v="McDonald's"/>
        <s v="Cafe Coffee Day"/>
        <s v="Subway"/>
        <s v="Pizza Hut"/>
        <s v="Burger King"/>
      </sharedItems>
    </cacheField>
    <cacheField name="Cuisine Type" numFmtId="0">
      <sharedItems count="6">
        <s v="Indian"/>
        <s v="Chinese"/>
        <s v="Burgers"/>
        <s v="Pizza"/>
        <s v="Snacks"/>
        <s v="Cafe"/>
      </sharedItems>
    </cacheField>
    <cacheField name="Customer Location" numFmtId="0">
      <sharedItems count="6">
        <s v="Mumbai"/>
        <s v="Hyderabad"/>
        <s v="Bangalore"/>
        <s v="Pune"/>
        <s v="Delhi"/>
        <s v="Chennai"/>
      </sharedItems>
    </cacheField>
    <cacheField name="Order Value (₹)" numFmtId="0">
      <sharedItems containsSemiMixedTypes="0" containsString="0" containsNumber="1" containsInteger="1" minValue="151" maxValue="1487"/>
    </cacheField>
    <cacheField name="Discount (₹)" numFmtId="0">
      <sharedItems containsSemiMixedTypes="0" containsString="0" containsNumber="1" containsInteger="1" minValue="0" maxValue="298"/>
    </cacheField>
    <cacheField name="Final Amount (₹)" numFmtId="0">
      <sharedItems containsSemiMixedTypes="0" containsString="0" containsNumber="1" containsInteger="1" minValue="-115" maxValue="1379"/>
    </cacheField>
    <cacheField name="Payment Method" numFmtId="0">
      <sharedItems count="4">
        <s v="Wallet"/>
        <s v="UPI"/>
        <s v="Card"/>
        <s v="COD"/>
      </sharedItems>
    </cacheField>
    <cacheField name="Delivery Time (Minutes)" numFmtId="0">
      <sharedItems containsSemiMixedTypes="0" containsString="0" containsNumber="1" containsInteger="1" minValue="15" maxValue="74"/>
    </cacheField>
    <cacheField name="Order Status" numFmtId="0">
      <sharedItems count="2">
        <s v="Cancelled"/>
        <s v="Delivered"/>
      </sharedItems>
    </cacheField>
    <cacheField name="Date" numFmtId="14">
      <sharedItems containsSemiMixedTypes="0" containsNonDate="0" containsDate="1" containsString="0" minDate="2023-01-01T00:00:00" maxDate="2023-04-01T00:00:00" count="9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Month Name" numFmtId="0">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00">
  <r>
    <x v="0"/>
    <x v="0"/>
    <x v="0"/>
    <x v="0"/>
    <x v="0"/>
    <n v="1276"/>
    <n v="97"/>
    <n v="1179"/>
    <x v="0"/>
    <n v="30"/>
    <x v="0"/>
    <x v="0"/>
    <s v="January"/>
  </r>
  <r>
    <x v="1"/>
    <x v="1"/>
    <x v="1"/>
    <x v="1"/>
    <x v="1"/>
    <n v="1010"/>
    <n v="197"/>
    <n v="813"/>
    <x v="0"/>
    <n v="40"/>
    <x v="1"/>
    <x v="0"/>
    <s v="January"/>
  </r>
  <r>
    <x v="2"/>
    <x v="2"/>
    <x v="2"/>
    <x v="1"/>
    <x v="1"/>
    <n v="1444"/>
    <n v="239"/>
    <n v="1205"/>
    <x v="1"/>
    <n v="40"/>
    <x v="0"/>
    <x v="0"/>
    <s v="January"/>
  </r>
  <r>
    <x v="3"/>
    <x v="3"/>
    <x v="3"/>
    <x v="2"/>
    <x v="2"/>
    <n v="1280"/>
    <n v="143"/>
    <n v="1137"/>
    <x v="2"/>
    <n v="62"/>
    <x v="0"/>
    <x v="1"/>
    <s v="January"/>
  </r>
  <r>
    <x v="4"/>
    <x v="4"/>
    <x v="0"/>
    <x v="2"/>
    <x v="3"/>
    <n v="1245"/>
    <n v="96"/>
    <n v="1149"/>
    <x v="0"/>
    <n v="35"/>
    <x v="0"/>
    <x v="1"/>
    <s v="January"/>
  </r>
  <r>
    <x v="5"/>
    <x v="5"/>
    <x v="0"/>
    <x v="2"/>
    <x v="1"/>
    <n v="1194"/>
    <n v="200"/>
    <n v="994"/>
    <x v="0"/>
    <n v="53"/>
    <x v="0"/>
    <x v="2"/>
    <s v="January"/>
  </r>
  <r>
    <x v="6"/>
    <x v="6"/>
    <x v="4"/>
    <x v="1"/>
    <x v="4"/>
    <n v="271"/>
    <n v="123"/>
    <n v="148"/>
    <x v="1"/>
    <n v="50"/>
    <x v="0"/>
    <x v="2"/>
    <s v="January"/>
  </r>
  <r>
    <x v="7"/>
    <x v="7"/>
    <x v="1"/>
    <x v="2"/>
    <x v="0"/>
    <n v="616"/>
    <n v="186"/>
    <n v="430"/>
    <x v="0"/>
    <n v="47"/>
    <x v="0"/>
    <x v="3"/>
    <s v="January"/>
  </r>
  <r>
    <x v="8"/>
    <x v="8"/>
    <x v="5"/>
    <x v="0"/>
    <x v="0"/>
    <n v="1388"/>
    <n v="258"/>
    <n v="1130"/>
    <x v="0"/>
    <n v="44"/>
    <x v="1"/>
    <x v="3"/>
    <s v="January"/>
  </r>
  <r>
    <x v="9"/>
    <x v="9"/>
    <x v="1"/>
    <x v="1"/>
    <x v="2"/>
    <n v="480"/>
    <n v="147"/>
    <n v="333"/>
    <x v="1"/>
    <n v="51"/>
    <x v="1"/>
    <x v="4"/>
    <s v="January"/>
  </r>
  <r>
    <x v="10"/>
    <x v="10"/>
    <x v="3"/>
    <x v="2"/>
    <x v="0"/>
    <n v="237"/>
    <n v="251"/>
    <n v="-14"/>
    <x v="3"/>
    <n v="37"/>
    <x v="1"/>
    <x v="4"/>
    <s v="January"/>
  </r>
  <r>
    <x v="11"/>
    <x v="11"/>
    <x v="6"/>
    <x v="0"/>
    <x v="0"/>
    <n v="1273"/>
    <n v="146"/>
    <n v="1127"/>
    <x v="3"/>
    <n v="72"/>
    <x v="1"/>
    <x v="4"/>
    <s v="January"/>
  </r>
  <r>
    <x v="12"/>
    <x v="12"/>
    <x v="1"/>
    <x v="2"/>
    <x v="3"/>
    <n v="1021"/>
    <n v="147"/>
    <n v="874"/>
    <x v="0"/>
    <n v="24"/>
    <x v="0"/>
    <x v="5"/>
    <s v="January"/>
  </r>
  <r>
    <x v="13"/>
    <x v="13"/>
    <x v="3"/>
    <x v="3"/>
    <x v="5"/>
    <n v="280"/>
    <n v="198"/>
    <n v="82"/>
    <x v="0"/>
    <n v="68"/>
    <x v="1"/>
    <x v="5"/>
    <s v="January"/>
  </r>
  <r>
    <x v="14"/>
    <x v="14"/>
    <x v="0"/>
    <x v="2"/>
    <x v="4"/>
    <n v="1482"/>
    <n v="127"/>
    <n v="1355"/>
    <x v="2"/>
    <n v="19"/>
    <x v="1"/>
    <x v="6"/>
    <s v="January"/>
  </r>
  <r>
    <x v="15"/>
    <x v="15"/>
    <x v="6"/>
    <x v="3"/>
    <x v="3"/>
    <n v="919"/>
    <n v="38"/>
    <n v="881"/>
    <x v="0"/>
    <n v="50"/>
    <x v="1"/>
    <x v="6"/>
    <s v="January"/>
  </r>
  <r>
    <x v="16"/>
    <x v="16"/>
    <x v="3"/>
    <x v="2"/>
    <x v="5"/>
    <n v="493"/>
    <n v="128"/>
    <n v="365"/>
    <x v="2"/>
    <n v="48"/>
    <x v="1"/>
    <x v="7"/>
    <s v="January"/>
  </r>
  <r>
    <x v="17"/>
    <x v="17"/>
    <x v="6"/>
    <x v="4"/>
    <x v="0"/>
    <n v="955"/>
    <n v="266"/>
    <n v="689"/>
    <x v="3"/>
    <n v="66"/>
    <x v="1"/>
    <x v="7"/>
    <s v="January"/>
  </r>
  <r>
    <x v="18"/>
    <x v="18"/>
    <x v="7"/>
    <x v="4"/>
    <x v="2"/>
    <n v="535"/>
    <n v="150"/>
    <n v="385"/>
    <x v="0"/>
    <n v="45"/>
    <x v="1"/>
    <x v="8"/>
    <s v="January"/>
  </r>
  <r>
    <x v="19"/>
    <x v="19"/>
    <x v="1"/>
    <x v="5"/>
    <x v="2"/>
    <n v="1365"/>
    <n v="297"/>
    <n v="1068"/>
    <x v="0"/>
    <n v="24"/>
    <x v="1"/>
    <x v="8"/>
    <s v="January"/>
  </r>
  <r>
    <x v="20"/>
    <x v="20"/>
    <x v="7"/>
    <x v="4"/>
    <x v="0"/>
    <n v="1105"/>
    <n v="98"/>
    <n v="1007"/>
    <x v="1"/>
    <n v="72"/>
    <x v="0"/>
    <x v="8"/>
    <s v="January"/>
  </r>
  <r>
    <x v="21"/>
    <x v="21"/>
    <x v="0"/>
    <x v="4"/>
    <x v="1"/>
    <n v="426"/>
    <n v="262"/>
    <n v="164"/>
    <x v="0"/>
    <n v="33"/>
    <x v="0"/>
    <x v="9"/>
    <s v="January"/>
  </r>
  <r>
    <x v="22"/>
    <x v="22"/>
    <x v="2"/>
    <x v="2"/>
    <x v="5"/>
    <n v="1334"/>
    <n v="251"/>
    <n v="1083"/>
    <x v="3"/>
    <n v="72"/>
    <x v="0"/>
    <x v="9"/>
    <s v="January"/>
  </r>
  <r>
    <x v="23"/>
    <x v="23"/>
    <x v="3"/>
    <x v="1"/>
    <x v="0"/>
    <n v="609"/>
    <n v="143"/>
    <n v="466"/>
    <x v="0"/>
    <n v="46"/>
    <x v="0"/>
    <x v="10"/>
    <s v="January"/>
  </r>
  <r>
    <x v="24"/>
    <x v="24"/>
    <x v="4"/>
    <x v="1"/>
    <x v="2"/>
    <n v="1487"/>
    <n v="111"/>
    <n v="1376"/>
    <x v="2"/>
    <n v="15"/>
    <x v="1"/>
    <x v="10"/>
    <s v="January"/>
  </r>
  <r>
    <x v="25"/>
    <x v="25"/>
    <x v="2"/>
    <x v="3"/>
    <x v="2"/>
    <n v="171"/>
    <n v="59"/>
    <n v="112"/>
    <x v="0"/>
    <n v="70"/>
    <x v="1"/>
    <x v="11"/>
    <s v="January"/>
  </r>
  <r>
    <x v="26"/>
    <x v="26"/>
    <x v="1"/>
    <x v="1"/>
    <x v="5"/>
    <n v="402"/>
    <n v="1"/>
    <n v="401"/>
    <x v="2"/>
    <n v="19"/>
    <x v="0"/>
    <x v="11"/>
    <s v="January"/>
  </r>
  <r>
    <x v="27"/>
    <x v="27"/>
    <x v="1"/>
    <x v="0"/>
    <x v="4"/>
    <n v="897"/>
    <n v="253"/>
    <n v="644"/>
    <x v="1"/>
    <n v="59"/>
    <x v="0"/>
    <x v="12"/>
    <s v="January"/>
  </r>
  <r>
    <x v="28"/>
    <x v="28"/>
    <x v="7"/>
    <x v="5"/>
    <x v="0"/>
    <n v="1006"/>
    <n v="139"/>
    <n v="867"/>
    <x v="0"/>
    <n v="18"/>
    <x v="0"/>
    <x v="12"/>
    <s v="January"/>
  </r>
  <r>
    <x v="29"/>
    <x v="29"/>
    <x v="6"/>
    <x v="4"/>
    <x v="3"/>
    <n v="624"/>
    <n v="36"/>
    <n v="588"/>
    <x v="1"/>
    <n v="30"/>
    <x v="1"/>
    <x v="12"/>
    <s v="January"/>
  </r>
  <r>
    <x v="30"/>
    <x v="30"/>
    <x v="7"/>
    <x v="5"/>
    <x v="0"/>
    <n v="1232"/>
    <n v="159"/>
    <n v="1073"/>
    <x v="1"/>
    <n v="38"/>
    <x v="1"/>
    <x v="13"/>
    <s v="January"/>
  </r>
  <r>
    <x v="31"/>
    <x v="31"/>
    <x v="0"/>
    <x v="0"/>
    <x v="4"/>
    <n v="660"/>
    <n v="8"/>
    <n v="652"/>
    <x v="0"/>
    <n v="30"/>
    <x v="0"/>
    <x v="13"/>
    <s v="January"/>
  </r>
  <r>
    <x v="32"/>
    <x v="32"/>
    <x v="6"/>
    <x v="4"/>
    <x v="5"/>
    <n v="849"/>
    <n v="232"/>
    <n v="617"/>
    <x v="2"/>
    <n v="69"/>
    <x v="1"/>
    <x v="14"/>
    <s v="January"/>
  </r>
  <r>
    <x v="33"/>
    <x v="33"/>
    <x v="4"/>
    <x v="3"/>
    <x v="5"/>
    <n v="1125"/>
    <n v="98"/>
    <n v="1027"/>
    <x v="0"/>
    <n v="16"/>
    <x v="0"/>
    <x v="14"/>
    <s v="January"/>
  </r>
  <r>
    <x v="34"/>
    <x v="34"/>
    <x v="5"/>
    <x v="0"/>
    <x v="2"/>
    <n v="339"/>
    <n v="146"/>
    <n v="193"/>
    <x v="2"/>
    <n v="63"/>
    <x v="1"/>
    <x v="15"/>
    <s v="January"/>
  </r>
  <r>
    <x v="35"/>
    <x v="35"/>
    <x v="6"/>
    <x v="0"/>
    <x v="4"/>
    <n v="1107"/>
    <n v="207"/>
    <n v="900"/>
    <x v="1"/>
    <n v="42"/>
    <x v="1"/>
    <x v="15"/>
    <s v="January"/>
  </r>
  <r>
    <x v="36"/>
    <x v="36"/>
    <x v="7"/>
    <x v="5"/>
    <x v="5"/>
    <n v="836"/>
    <n v="130"/>
    <n v="706"/>
    <x v="3"/>
    <n v="46"/>
    <x v="1"/>
    <x v="16"/>
    <s v="January"/>
  </r>
  <r>
    <x v="37"/>
    <x v="37"/>
    <x v="6"/>
    <x v="2"/>
    <x v="1"/>
    <n v="1107"/>
    <n v="151"/>
    <n v="956"/>
    <x v="0"/>
    <n v="41"/>
    <x v="0"/>
    <x v="16"/>
    <s v="January"/>
  </r>
  <r>
    <x v="38"/>
    <x v="38"/>
    <x v="7"/>
    <x v="5"/>
    <x v="0"/>
    <n v="712"/>
    <n v="53"/>
    <n v="659"/>
    <x v="3"/>
    <n v="34"/>
    <x v="1"/>
    <x v="16"/>
    <s v="January"/>
  </r>
  <r>
    <x v="39"/>
    <x v="39"/>
    <x v="6"/>
    <x v="5"/>
    <x v="2"/>
    <n v="1417"/>
    <n v="119"/>
    <n v="1298"/>
    <x v="2"/>
    <n v="38"/>
    <x v="1"/>
    <x v="17"/>
    <s v="January"/>
  </r>
  <r>
    <x v="40"/>
    <x v="40"/>
    <x v="0"/>
    <x v="1"/>
    <x v="3"/>
    <n v="981"/>
    <n v="160"/>
    <n v="821"/>
    <x v="0"/>
    <n v="26"/>
    <x v="1"/>
    <x v="17"/>
    <s v="January"/>
  </r>
  <r>
    <x v="41"/>
    <x v="41"/>
    <x v="1"/>
    <x v="0"/>
    <x v="4"/>
    <n v="1304"/>
    <n v="115"/>
    <n v="1189"/>
    <x v="3"/>
    <n v="64"/>
    <x v="1"/>
    <x v="18"/>
    <s v="January"/>
  </r>
  <r>
    <x v="42"/>
    <x v="42"/>
    <x v="3"/>
    <x v="5"/>
    <x v="2"/>
    <n v="796"/>
    <n v="74"/>
    <n v="722"/>
    <x v="3"/>
    <n v="49"/>
    <x v="0"/>
    <x v="18"/>
    <s v="January"/>
  </r>
  <r>
    <x v="43"/>
    <x v="43"/>
    <x v="2"/>
    <x v="0"/>
    <x v="5"/>
    <n v="170"/>
    <n v="112"/>
    <n v="58"/>
    <x v="0"/>
    <n v="74"/>
    <x v="0"/>
    <x v="19"/>
    <s v="January"/>
  </r>
  <r>
    <x v="44"/>
    <x v="44"/>
    <x v="1"/>
    <x v="1"/>
    <x v="5"/>
    <n v="990"/>
    <n v="103"/>
    <n v="887"/>
    <x v="3"/>
    <n v="47"/>
    <x v="0"/>
    <x v="19"/>
    <s v="January"/>
  </r>
  <r>
    <x v="45"/>
    <x v="45"/>
    <x v="3"/>
    <x v="0"/>
    <x v="3"/>
    <n v="316"/>
    <n v="253"/>
    <n v="63"/>
    <x v="0"/>
    <n v="47"/>
    <x v="1"/>
    <x v="20"/>
    <s v="January"/>
  </r>
  <r>
    <x v="46"/>
    <x v="46"/>
    <x v="1"/>
    <x v="5"/>
    <x v="3"/>
    <n v="1447"/>
    <n v="226"/>
    <n v="1221"/>
    <x v="3"/>
    <n v="65"/>
    <x v="0"/>
    <x v="20"/>
    <s v="January"/>
  </r>
  <r>
    <x v="47"/>
    <x v="47"/>
    <x v="2"/>
    <x v="0"/>
    <x v="3"/>
    <n v="537"/>
    <n v="111"/>
    <n v="426"/>
    <x v="1"/>
    <n v="57"/>
    <x v="0"/>
    <x v="21"/>
    <s v="January"/>
  </r>
  <r>
    <x v="48"/>
    <x v="48"/>
    <x v="0"/>
    <x v="4"/>
    <x v="3"/>
    <n v="750"/>
    <n v="98"/>
    <n v="652"/>
    <x v="0"/>
    <n v="51"/>
    <x v="0"/>
    <x v="21"/>
    <s v="January"/>
  </r>
  <r>
    <x v="49"/>
    <x v="49"/>
    <x v="2"/>
    <x v="1"/>
    <x v="3"/>
    <n v="465"/>
    <n v="152"/>
    <n v="313"/>
    <x v="1"/>
    <n v="26"/>
    <x v="0"/>
    <x v="21"/>
    <s v="January"/>
  </r>
  <r>
    <x v="50"/>
    <x v="50"/>
    <x v="2"/>
    <x v="2"/>
    <x v="1"/>
    <n v="163"/>
    <n v="193"/>
    <n v="-30"/>
    <x v="1"/>
    <n v="17"/>
    <x v="0"/>
    <x v="22"/>
    <s v="January"/>
  </r>
  <r>
    <x v="51"/>
    <x v="51"/>
    <x v="3"/>
    <x v="0"/>
    <x v="0"/>
    <n v="391"/>
    <n v="162"/>
    <n v="229"/>
    <x v="3"/>
    <n v="15"/>
    <x v="0"/>
    <x v="22"/>
    <s v="January"/>
  </r>
  <r>
    <x v="52"/>
    <x v="52"/>
    <x v="2"/>
    <x v="5"/>
    <x v="4"/>
    <n v="926"/>
    <n v="207"/>
    <n v="719"/>
    <x v="2"/>
    <n v="47"/>
    <x v="1"/>
    <x v="23"/>
    <s v="January"/>
  </r>
  <r>
    <x v="53"/>
    <x v="53"/>
    <x v="4"/>
    <x v="1"/>
    <x v="2"/>
    <n v="714"/>
    <n v="168"/>
    <n v="546"/>
    <x v="1"/>
    <n v="54"/>
    <x v="1"/>
    <x v="23"/>
    <s v="January"/>
  </r>
  <r>
    <x v="54"/>
    <x v="54"/>
    <x v="0"/>
    <x v="5"/>
    <x v="3"/>
    <n v="1047"/>
    <n v="160"/>
    <n v="887"/>
    <x v="1"/>
    <n v="24"/>
    <x v="0"/>
    <x v="24"/>
    <s v="January"/>
  </r>
  <r>
    <x v="55"/>
    <x v="55"/>
    <x v="6"/>
    <x v="5"/>
    <x v="0"/>
    <n v="241"/>
    <n v="67"/>
    <n v="174"/>
    <x v="1"/>
    <n v="57"/>
    <x v="0"/>
    <x v="24"/>
    <s v="January"/>
  </r>
  <r>
    <x v="56"/>
    <x v="56"/>
    <x v="3"/>
    <x v="0"/>
    <x v="5"/>
    <n v="1105"/>
    <n v="288"/>
    <n v="817"/>
    <x v="2"/>
    <n v="58"/>
    <x v="0"/>
    <x v="25"/>
    <s v="January"/>
  </r>
  <r>
    <x v="57"/>
    <x v="57"/>
    <x v="0"/>
    <x v="5"/>
    <x v="0"/>
    <n v="658"/>
    <n v="276"/>
    <n v="382"/>
    <x v="2"/>
    <n v="43"/>
    <x v="1"/>
    <x v="25"/>
    <s v="January"/>
  </r>
  <r>
    <x v="58"/>
    <x v="58"/>
    <x v="3"/>
    <x v="0"/>
    <x v="3"/>
    <n v="925"/>
    <n v="134"/>
    <n v="791"/>
    <x v="1"/>
    <n v="27"/>
    <x v="1"/>
    <x v="25"/>
    <s v="January"/>
  </r>
  <r>
    <x v="59"/>
    <x v="59"/>
    <x v="5"/>
    <x v="2"/>
    <x v="2"/>
    <n v="184"/>
    <n v="194"/>
    <n v="-10"/>
    <x v="2"/>
    <n v="26"/>
    <x v="1"/>
    <x v="26"/>
    <s v="January"/>
  </r>
  <r>
    <x v="60"/>
    <x v="60"/>
    <x v="4"/>
    <x v="4"/>
    <x v="3"/>
    <n v="355"/>
    <n v="127"/>
    <n v="228"/>
    <x v="2"/>
    <n v="45"/>
    <x v="1"/>
    <x v="26"/>
    <s v="January"/>
  </r>
  <r>
    <x v="61"/>
    <x v="61"/>
    <x v="0"/>
    <x v="5"/>
    <x v="0"/>
    <n v="1254"/>
    <n v="32"/>
    <n v="1222"/>
    <x v="2"/>
    <n v="60"/>
    <x v="0"/>
    <x v="27"/>
    <s v="January"/>
  </r>
  <r>
    <x v="62"/>
    <x v="62"/>
    <x v="6"/>
    <x v="5"/>
    <x v="5"/>
    <n v="1175"/>
    <n v="175"/>
    <n v="1000"/>
    <x v="0"/>
    <n v="16"/>
    <x v="1"/>
    <x v="27"/>
    <s v="January"/>
  </r>
  <r>
    <x v="63"/>
    <x v="63"/>
    <x v="0"/>
    <x v="5"/>
    <x v="0"/>
    <n v="1171"/>
    <n v="21"/>
    <n v="1150"/>
    <x v="1"/>
    <n v="65"/>
    <x v="1"/>
    <x v="28"/>
    <s v="January"/>
  </r>
  <r>
    <x v="64"/>
    <x v="64"/>
    <x v="7"/>
    <x v="3"/>
    <x v="3"/>
    <n v="715"/>
    <n v="237"/>
    <n v="478"/>
    <x v="2"/>
    <n v="64"/>
    <x v="0"/>
    <x v="28"/>
    <s v="January"/>
  </r>
  <r>
    <x v="65"/>
    <x v="65"/>
    <x v="7"/>
    <x v="3"/>
    <x v="4"/>
    <n v="1279"/>
    <n v="157"/>
    <n v="1122"/>
    <x v="0"/>
    <n v="49"/>
    <x v="0"/>
    <x v="29"/>
    <s v="January"/>
  </r>
  <r>
    <x v="66"/>
    <x v="66"/>
    <x v="3"/>
    <x v="1"/>
    <x v="0"/>
    <n v="852"/>
    <n v="37"/>
    <n v="815"/>
    <x v="3"/>
    <n v="37"/>
    <x v="0"/>
    <x v="29"/>
    <s v="January"/>
  </r>
  <r>
    <x v="67"/>
    <x v="67"/>
    <x v="1"/>
    <x v="4"/>
    <x v="4"/>
    <n v="551"/>
    <n v="229"/>
    <n v="322"/>
    <x v="3"/>
    <n v="31"/>
    <x v="1"/>
    <x v="29"/>
    <s v="January"/>
  </r>
  <r>
    <x v="68"/>
    <x v="68"/>
    <x v="2"/>
    <x v="4"/>
    <x v="3"/>
    <n v="879"/>
    <n v="50"/>
    <n v="829"/>
    <x v="2"/>
    <n v="40"/>
    <x v="0"/>
    <x v="30"/>
    <s v="January"/>
  </r>
  <r>
    <x v="69"/>
    <x v="69"/>
    <x v="2"/>
    <x v="3"/>
    <x v="0"/>
    <n v="311"/>
    <n v="263"/>
    <n v="48"/>
    <x v="1"/>
    <n v="22"/>
    <x v="0"/>
    <x v="30"/>
    <s v="January"/>
  </r>
  <r>
    <x v="70"/>
    <x v="70"/>
    <x v="3"/>
    <x v="1"/>
    <x v="5"/>
    <n v="351"/>
    <n v="282"/>
    <n v="69"/>
    <x v="2"/>
    <n v="43"/>
    <x v="1"/>
    <x v="31"/>
    <s v="February"/>
  </r>
  <r>
    <x v="71"/>
    <x v="71"/>
    <x v="4"/>
    <x v="3"/>
    <x v="1"/>
    <n v="1145"/>
    <n v="26"/>
    <n v="1119"/>
    <x v="3"/>
    <n v="40"/>
    <x v="0"/>
    <x v="31"/>
    <s v="February"/>
  </r>
  <r>
    <x v="72"/>
    <x v="72"/>
    <x v="4"/>
    <x v="2"/>
    <x v="1"/>
    <n v="419"/>
    <n v="225"/>
    <n v="194"/>
    <x v="1"/>
    <n v="24"/>
    <x v="0"/>
    <x v="32"/>
    <s v="February"/>
  </r>
  <r>
    <x v="73"/>
    <x v="73"/>
    <x v="2"/>
    <x v="1"/>
    <x v="4"/>
    <n v="965"/>
    <n v="276"/>
    <n v="689"/>
    <x v="1"/>
    <n v="40"/>
    <x v="0"/>
    <x v="32"/>
    <s v="February"/>
  </r>
  <r>
    <x v="74"/>
    <x v="74"/>
    <x v="0"/>
    <x v="4"/>
    <x v="3"/>
    <n v="1444"/>
    <n v="285"/>
    <n v="1159"/>
    <x v="3"/>
    <n v="48"/>
    <x v="0"/>
    <x v="33"/>
    <s v="February"/>
  </r>
  <r>
    <x v="75"/>
    <x v="75"/>
    <x v="5"/>
    <x v="4"/>
    <x v="4"/>
    <n v="605"/>
    <n v="96"/>
    <n v="509"/>
    <x v="0"/>
    <n v="65"/>
    <x v="0"/>
    <x v="33"/>
    <s v="February"/>
  </r>
  <r>
    <x v="76"/>
    <x v="76"/>
    <x v="4"/>
    <x v="3"/>
    <x v="3"/>
    <n v="1425"/>
    <n v="283"/>
    <n v="1142"/>
    <x v="0"/>
    <n v="55"/>
    <x v="1"/>
    <x v="33"/>
    <s v="February"/>
  </r>
  <r>
    <x v="77"/>
    <x v="77"/>
    <x v="5"/>
    <x v="2"/>
    <x v="3"/>
    <n v="1166"/>
    <n v="146"/>
    <n v="1020"/>
    <x v="2"/>
    <n v="21"/>
    <x v="1"/>
    <x v="34"/>
    <s v="February"/>
  </r>
  <r>
    <x v="78"/>
    <x v="78"/>
    <x v="2"/>
    <x v="3"/>
    <x v="1"/>
    <n v="445"/>
    <n v="3"/>
    <n v="442"/>
    <x v="1"/>
    <n v="18"/>
    <x v="0"/>
    <x v="34"/>
    <s v="February"/>
  </r>
  <r>
    <x v="79"/>
    <x v="79"/>
    <x v="3"/>
    <x v="0"/>
    <x v="5"/>
    <n v="869"/>
    <n v="34"/>
    <n v="835"/>
    <x v="2"/>
    <n v="72"/>
    <x v="0"/>
    <x v="35"/>
    <s v="February"/>
  </r>
  <r>
    <x v="80"/>
    <x v="80"/>
    <x v="6"/>
    <x v="0"/>
    <x v="5"/>
    <n v="487"/>
    <n v="191"/>
    <n v="296"/>
    <x v="1"/>
    <n v="67"/>
    <x v="0"/>
    <x v="35"/>
    <s v="February"/>
  </r>
  <r>
    <x v="81"/>
    <x v="81"/>
    <x v="2"/>
    <x v="2"/>
    <x v="0"/>
    <n v="1028"/>
    <n v="48"/>
    <n v="980"/>
    <x v="3"/>
    <n v="64"/>
    <x v="0"/>
    <x v="36"/>
    <s v="February"/>
  </r>
  <r>
    <x v="82"/>
    <x v="82"/>
    <x v="6"/>
    <x v="5"/>
    <x v="4"/>
    <n v="1226"/>
    <n v="16"/>
    <n v="1210"/>
    <x v="1"/>
    <n v="59"/>
    <x v="0"/>
    <x v="36"/>
    <s v="February"/>
  </r>
  <r>
    <x v="83"/>
    <x v="83"/>
    <x v="4"/>
    <x v="5"/>
    <x v="5"/>
    <n v="941"/>
    <n v="171"/>
    <n v="770"/>
    <x v="1"/>
    <n v="25"/>
    <x v="1"/>
    <x v="37"/>
    <s v="February"/>
  </r>
  <r>
    <x v="84"/>
    <x v="84"/>
    <x v="5"/>
    <x v="0"/>
    <x v="2"/>
    <n v="366"/>
    <n v="219"/>
    <n v="147"/>
    <x v="3"/>
    <n v="43"/>
    <x v="0"/>
    <x v="37"/>
    <s v="February"/>
  </r>
  <r>
    <x v="85"/>
    <x v="85"/>
    <x v="3"/>
    <x v="0"/>
    <x v="0"/>
    <n v="913"/>
    <n v="157"/>
    <n v="756"/>
    <x v="0"/>
    <n v="70"/>
    <x v="1"/>
    <x v="38"/>
    <s v="February"/>
  </r>
  <r>
    <x v="86"/>
    <x v="86"/>
    <x v="4"/>
    <x v="5"/>
    <x v="0"/>
    <n v="337"/>
    <n v="45"/>
    <n v="292"/>
    <x v="3"/>
    <n v="50"/>
    <x v="0"/>
    <x v="38"/>
    <s v="February"/>
  </r>
  <r>
    <x v="87"/>
    <x v="87"/>
    <x v="6"/>
    <x v="1"/>
    <x v="1"/>
    <n v="529"/>
    <n v="5"/>
    <n v="524"/>
    <x v="1"/>
    <n v="39"/>
    <x v="0"/>
    <x v="38"/>
    <s v="February"/>
  </r>
  <r>
    <x v="88"/>
    <x v="88"/>
    <x v="1"/>
    <x v="5"/>
    <x v="4"/>
    <n v="642"/>
    <n v="98"/>
    <n v="544"/>
    <x v="3"/>
    <n v="35"/>
    <x v="0"/>
    <x v="39"/>
    <s v="February"/>
  </r>
  <r>
    <x v="89"/>
    <x v="89"/>
    <x v="1"/>
    <x v="3"/>
    <x v="5"/>
    <n v="1214"/>
    <n v="232"/>
    <n v="982"/>
    <x v="1"/>
    <n v="71"/>
    <x v="1"/>
    <x v="39"/>
    <s v="February"/>
  </r>
  <r>
    <x v="90"/>
    <x v="90"/>
    <x v="1"/>
    <x v="1"/>
    <x v="5"/>
    <n v="1330"/>
    <n v="36"/>
    <n v="1294"/>
    <x v="0"/>
    <n v="50"/>
    <x v="0"/>
    <x v="40"/>
    <s v="February"/>
  </r>
  <r>
    <x v="91"/>
    <x v="91"/>
    <x v="0"/>
    <x v="3"/>
    <x v="3"/>
    <n v="164"/>
    <n v="279"/>
    <n v="-115"/>
    <x v="0"/>
    <n v="24"/>
    <x v="1"/>
    <x v="40"/>
    <s v="February"/>
  </r>
  <r>
    <x v="92"/>
    <x v="92"/>
    <x v="7"/>
    <x v="0"/>
    <x v="0"/>
    <n v="214"/>
    <n v="180"/>
    <n v="34"/>
    <x v="1"/>
    <n v="51"/>
    <x v="0"/>
    <x v="41"/>
    <s v="February"/>
  </r>
  <r>
    <x v="93"/>
    <x v="93"/>
    <x v="5"/>
    <x v="1"/>
    <x v="4"/>
    <n v="670"/>
    <n v="94"/>
    <n v="576"/>
    <x v="0"/>
    <n v="23"/>
    <x v="0"/>
    <x v="41"/>
    <s v="February"/>
  </r>
  <r>
    <x v="94"/>
    <x v="94"/>
    <x v="1"/>
    <x v="3"/>
    <x v="4"/>
    <n v="1302"/>
    <n v="98"/>
    <n v="1204"/>
    <x v="3"/>
    <n v="38"/>
    <x v="1"/>
    <x v="42"/>
    <s v="February"/>
  </r>
  <r>
    <x v="95"/>
    <x v="95"/>
    <x v="5"/>
    <x v="3"/>
    <x v="4"/>
    <n v="797"/>
    <n v="187"/>
    <n v="610"/>
    <x v="0"/>
    <n v="49"/>
    <x v="1"/>
    <x v="42"/>
    <s v="February"/>
  </r>
  <r>
    <x v="96"/>
    <x v="96"/>
    <x v="4"/>
    <x v="1"/>
    <x v="3"/>
    <n v="1236"/>
    <n v="115"/>
    <n v="1121"/>
    <x v="2"/>
    <n v="63"/>
    <x v="0"/>
    <x v="42"/>
    <s v="February"/>
  </r>
  <r>
    <x v="97"/>
    <x v="97"/>
    <x v="6"/>
    <x v="2"/>
    <x v="1"/>
    <n v="1312"/>
    <n v="190"/>
    <n v="1122"/>
    <x v="0"/>
    <n v="49"/>
    <x v="0"/>
    <x v="43"/>
    <s v="February"/>
  </r>
  <r>
    <x v="98"/>
    <x v="98"/>
    <x v="4"/>
    <x v="5"/>
    <x v="5"/>
    <n v="742"/>
    <n v="252"/>
    <n v="490"/>
    <x v="2"/>
    <n v="62"/>
    <x v="0"/>
    <x v="43"/>
    <s v="February"/>
  </r>
  <r>
    <x v="99"/>
    <x v="99"/>
    <x v="7"/>
    <x v="4"/>
    <x v="4"/>
    <n v="541"/>
    <n v="160"/>
    <n v="381"/>
    <x v="3"/>
    <n v="50"/>
    <x v="1"/>
    <x v="44"/>
    <s v="February"/>
  </r>
  <r>
    <x v="100"/>
    <x v="100"/>
    <x v="1"/>
    <x v="3"/>
    <x v="3"/>
    <n v="568"/>
    <n v="255"/>
    <n v="313"/>
    <x v="0"/>
    <n v="32"/>
    <x v="1"/>
    <x v="44"/>
    <s v="February"/>
  </r>
  <r>
    <x v="101"/>
    <x v="101"/>
    <x v="0"/>
    <x v="5"/>
    <x v="1"/>
    <n v="438"/>
    <n v="127"/>
    <n v="311"/>
    <x v="0"/>
    <n v="63"/>
    <x v="0"/>
    <x v="45"/>
    <s v="February"/>
  </r>
  <r>
    <x v="102"/>
    <x v="102"/>
    <x v="0"/>
    <x v="4"/>
    <x v="3"/>
    <n v="528"/>
    <n v="17"/>
    <n v="511"/>
    <x v="0"/>
    <n v="53"/>
    <x v="1"/>
    <x v="45"/>
    <s v="February"/>
  </r>
  <r>
    <x v="103"/>
    <x v="103"/>
    <x v="6"/>
    <x v="5"/>
    <x v="2"/>
    <n v="380"/>
    <n v="280"/>
    <n v="100"/>
    <x v="3"/>
    <n v="46"/>
    <x v="0"/>
    <x v="46"/>
    <s v="February"/>
  </r>
  <r>
    <x v="104"/>
    <x v="104"/>
    <x v="2"/>
    <x v="0"/>
    <x v="0"/>
    <n v="1167"/>
    <n v="222"/>
    <n v="945"/>
    <x v="3"/>
    <n v="38"/>
    <x v="0"/>
    <x v="46"/>
    <s v="February"/>
  </r>
  <r>
    <x v="105"/>
    <x v="105"/>
    <x v="0"/>
    <x v="4"/>
    <x v="5"/>
    <n v="190"/>
    <n v="53"/>
    <n v="137"/>
    <x v="2"/>
    <n v="37"/>
    <x v="0"/>
    <x v="46"/>
    <s v="February"/>
  </r>
  <r>
    <x v="106"/>
    <x v="106"/>
    <x v="1"/>
    <x v="5"/>
    <x v="3"/>
    <n v="1201"/>
    <n v="57"/>
    <n v="1144"/>
    <x v="1"/>
    <n v="46"/>
    <x v="1"/>
    <x v="47"/>
    <s v="February"/>
  </r>
  <r>
    <x v="107"/>
    <x v="107"/>
    <x v="5"/>
    <x v="3"/>
    <x v="3"/>
    <n v="284"/>
    <n v="173"/>
    <n v="111"/>
    <x v="3"/>
    <n v="51"/>
    <x v="1"/>
    <x v="47"/>
    <s v="February"/>
  </r>
  <r>
    <x v="108"/>
    <x v="108"/>
    <x v="5"/>
    <x v="4"/>
    <x v="5"/>
    <n v="350"/>
    <n v="279"/>
    <n v="71"/>
    <x v="0"/>
    <n v="26"/>
    <x v="1"/>
    <x v="48"/>
    <s v="February"/>
  </r>
  <r>
    <x v="109"/>
    <x v="109"/>
    <x v="4"/>
    <x v="0"/>
    <x v="0"/>
    <n v="929"/>
    <n v="113"/>
    <n v="816"/>
    <x v="2"/>
    <n v="63"/>
    <x v="1"/>
    <x v="48"/>
    <s v="February"/>
  </r>
  <r>
    <x v="110"/>
    <x v="110"/>
    <x v="4"/>
    <x v="1"/>
    <x v="2"/>
    <n v="1079"/>
    <n v="287"/>
    <n v="792"/>
    <x v="0"/>
    <n v="69"/>
    <x v="0"/>
    <x v="49"/>
    <s v="February"/>
  </r>
  <r>
    <x v="111"/>
    <x v="111"/>
    <x v="2"/>
    <x v="3"/>
    <x v="1"/>
    <n v="1206"/>
    <n v="150"/>
    <n v="1056"/>
    <x v="0"/>
    <n v="27"/>
    <x v="1"/>
    <x v="49"/>
    <s v="February"/>
  </r>
  <r>
    <x v="112"/>
    <x v="112"/>
    <x v="6"/>
    <x v="0"/>
    <x v="3"/>
    <n v="1221"/>
    <n v="126"/>
    <n v="1095"/>
    <x v="3"/>
    <n v="37"/>
    <x v="0"/>
    <x v="50"/>
    <s v="February"/>
  </r>
  <r>
    <x v="113"/>
    <x v="113"/>
    <x v="3"/>
    <x v="0"/>
    <x v="0"/>
    <n v="652"/>
    <n v="154"/>
    <n v="498"/>
    <x v="1"/>
    <n v="39"/>
    <x v="1"/>
    <x v="50"/>
    <s v="February"/>
  </r>
  <r>
    <x v="114"/>
    <x v="114"/>
    <x v="4"/>
    <x v="4"/>
    <x v="1"/>
    <n v="556"/>
    <n v="272"/>
    <n v="284"/>
    <x v="0"/>
    <n v="49"/>
    <x v="1"/>
    <x v="50"/>
    <s v="February"/>
  </r>
  <r>
    <x v="115"/>
    <x v="115"/>
    <x v="7"/>
    <x v="5"/>
    <x v="1"/>
    <n v="954"/>
    <n v="103"/>
    <n v="851"/>
    <x v="3"/>
    <n v="55"/>
    <x v="1"/>
    <x v="51"/>
    <s v="February"/>
  </r>
  <r>
    <x v="116"/>
    <x v="116"/>
    <x v="2"/>
    <x v="1"/>
    <x v="1"/>
    <n v="248"/>
    <n v="298"/>
    <n v="-50"/>
    <x v="2"/>
    <n v="44"/>
    <x v="0"/>
    <x v="51"/>
    <s v="February"/>
  </r>
  <r>
    <x v="117"/>
    <x v="117"/>
    <x v="0"/>
    <x v="3"/>
    <x v="2"/>
    <n v="833"/>
    <n v="245"/>
    <n v="588"/>
    <x v="0"/>
    <n v="31"/>
    <x v="1"/>
    <x v="52"/>
    <s v="February"/>
  </r>
  <r>
    <x v="118"/>
    <x v="118"/>
    <x v="6"/>
    <x v="3"/>
    <x v="2"/>
    <n v="875"/>
    <n v="175"/>
    <n v="700"/>
    <x v="2"/>
    <n v="63"/>
    <x v="1"/>
    <x v="52"/>
    <s v="February"/>
  </r>
  <r>
    <x v="119"/>
    <x v="119"/>
    <x v="3"/>
    <x v="5"/>
    <x v="1"/>
    <n v="1110"/>
    <n v="38"/>
    <n v="1072"/>
    <x v="3"/>
    <n v="34"/>
    <x v="0"/>
    <x v="53"/>
    <s v="February"/>
  </r>
  <r>
    <x v="120"/>
    <x v="120"/>
    <x v="7"/>
    <x v="1"/>
    <x v="4"/>
    <n v="762"/>
    <n v="169"/>
    <n v="593"/>
    <x v="3"/>
    <n v="62"/>
    <x v="0"/>
    <x v="53"/>
    <s v="February"/>
  </r>
  <r>
    <x v="121"/>
    <x v="121"/>
    <x v="6"/>
    <x v="4"/>
    <x v="5"/>
    <n v="792"/>
    <n v="246"/>
    <n v="546"/>
    <x v="3"/>
    <n v="39"/>
    <x v="0"/>
    <x v="54"/>
    <s v="February"/>
  </r>
  <r>
    <x v="122"/>
    <x v="122"/>
    <x v="7"/>
    <x v="3"/>
    <x v="2"/>
    <n v="1178"/>
    <n v="25"/>
    <n v="1153"/>
    <x v="3"/>
    <n v="36"/>
    <x v="0"/>
    <x v="54"/>
    <s v="February"/>
  </r>
  <r>
    <x v="123"/>
    <x v="123"/>
    <x v="6"/>
    <x v="1"/>
    <x v="4"/>
    <n v="1391"/>
    <n v="12"/>
    <n v="1379"/>
    <x v="3"/>
    <n v="27"/>
    <x v="0"/>
    <x v="55"/>
    <s v="February"/>
  </r>
  <r>
    <x v="124"/>
    <x v="124"/>
    <x v="1"/>
    <x v="4"/>
    <x v="4"/>
    <n v="652"/>
    <n v="35"/>
    <n v="617"/>
    <x v="1"/>
    <n v="73"/>
    <x v="0"/>
    <x v="55"/>
    <s v="February"/>
  </r>
  <r>
    <x v="125"/>
    <x v="125"/>
    <x v="2"/>
    <x v="4"/>
    <x v="3"/>
    <n v="916"/>
    <n v="172"/>
    <n v="744"/>
    <x v="2"/>
    <n v="33"/>
    <x v="1"/>
    <x v="55"/>
    <s v="February"/>
  </r>
  <r>
    <x v="126"/>
    <x v="126"/>
    <x v="1"/>
    <x v="3"/>
    <x v="5"/>
    <n v="547"/>
    <n v="19"/>
    <n v="528"/>
    <x v="1"/>
    <n v="63"/>
    <x v="0"/>
    <x v="56"/>
    <s v="February"/>
  </r>
  <r>
    <x v="127"/>
    <x v="127"/>
    <x v="4"/>
    <x v="5"/>
    <x v="1"/>
    <n v="1020"/>
    <n v="263"/>
    <n v="757"/>
    <x v="2"/>
    <n v="50"/>
    <x v="1"/>
    <x v="56"/>
    <s v="February"/>
  </r>
  <r>
    <x v="128"/>
    <x v="128"/>
    <x v="4"/>
    <x v="2"/>
    <x v="3"/>
    <n v="944"/>
    <n v="141"/>
    <n v="803"/>
    <x v="0"/>
    <n v="26"/>
    <x v="0"/>
    <x v="57"/>
    <s v="February"/>
  </r>
  <r>
    <x v="129"/>
    <x v="129"/>
    <x v="7"/>
    <x v="3"/>
    <x v="3"/>
    <n v="542"/>
    <n v="142"/>
    <n v="400"/>
    <x v="0"/>
    <n v="55"/>
    <x v="1"/>
    <x v="57"/>
    <s v="February"/>
  </r>
  <r>
    <x v="130"/>
    <x v="130"/>
    <x v="2"/>
    <x v="0"/>
    <x v="4"/>
    <n v="356"/>
    <n v="91"/>
    <n v="265"/>
    <x v="2"/>
    <n v="33"/>
    <x v="1"/>
    <x v="58"/>
    <s v="February"/>
  </r>
  <r>
    <x v="131"/>
    <x v="131"/>
    <x v="1"/>
    <x v="0"/>
    <x v="4"/>
    <n v="1188"/>
    <n v="287"/>
    <n v="901"/>
    <x v="0"/>
    <n v="26"/>
    <x v="1"/>
    <x v="58"/>
    <s v="February"/>
  </r>
  <r>
    <x v="132"/>
    <x v="132"/>
    <x v="4"/>
    <x v="4"/>
    <x v="4"/>
    <n v="1041"/>
    <n v="214"/>
    <n v="827"/>
    <x v="0"/>
    <n v="23"/>
    <x v="0"/>
    <x v="59"/>
    <s v="March"/>
  </r>
  <r>
    <x v="133"/>
    <x v="133"/>
    <x v="4"/>
    <x v="2"/>
    <x v="1"/>
    <n v="1013"/>
    <n v="50"/>
    <n v="963"/>
    <x v="0"/>
    <n v="21"/>
    <x v="0"/>
    <x v="59"/>
    <s v="March"/>
  </r>
  <r>
    <x v="134"/>
    <x v="134"/>
    <x v="1"/>
    <x v="3"/>
    <x v="1"/>
    <n v="892"/>
    <n v="152"/>
    <n v="740"/>
    <x v="1"/>
    <n v="42"/>
    <x v="0"/>
    <x v="59"/>
    <s v="March"/>
  </r>
  <r>
    <x v="135"/>
    <x v="135"/>
    <x v="5"/>
    <x v="0"/>
    <x v="3"/>
    <n v="1414"/>
    <n v="185"/>
    <n v="1229"/>
    <x v="1"/>
    <n v="28"/>
    <x v="0"/>
    <x v="60"/>
    <s v="March"/>
  </r>
  <r>
    <x v="136"/>
    <x v="136"/>
    <x v="1"/>
    <x v="0"/>
    <x v="3"/>
    <n v="713"/>
    <n v="62"/>
    <n v="651"/>
    <x v="3"/>
    <n v="45"/>
    <x v="1"/>
    <x v="60"/>
    <s v="March"/>
  </r>
  <r>
    <x v="137"/>
    <x v="137"/>
    <x v="7"/>
    <x v="3"/>
    <x v="2"/>
    <n v="1170"/>
    <n v="189"/>
    <n v="981"/>
    <x v="2"/>
    <n v="66"/>
    <x v="0"/>
    <x v="61"/>
    <s v="March"/>
  </r>
  <r>
    <x v="138"/>
    <x v="138"/>
    <x v="7"/>
    <x v="1"/>
    <x v="2"/>
    <n v="245"/>
    <n v="124"/>
    <n v="121"/>
    <x v="0"/>
    <n v="33"/>
    <x v="0"/>
    <x v="61"/>
    <s v="March"/>
  </r>
  <r>
    <x v="139"/>
    <x v="139"/>
    <x v="3"/>
    <x v="4"/>
    <x v="4"/>
    <n v="634"/>
    <n v="149"/>
    <n v="485"/>
    <x v="2"/>
    <n v="72"/>
    <x v="0"/>
    <x v="62"/>
    <s v="March"/>
  </r>
  <r>
    <x v="140"/>
    <x v="140"/>
    <x v="5"/>
    <x v="3"/>
    <x v="1"/>
    <n v="380"/>
    <n v="57"/>
    <n v="323"/>
    <x v="3"/>
    <n v="61"/>
    <x v="1"/>
    <x v="62"/>
    <s v="March"/>
  </r>
  <r>
    <x v="141"/>
    <x v="141"/>
    <x v="6"/>
    <x v="1"/>
    <x v="1"/>
    <n v="898"/>
    <n v="179"/>
    <n v="719"/>
    <x v="3"/>
    <n v="30"/>
    <x v="0"/>
    <x v="63"/>
    <s v="March"/>
  </r>
  <r>
    <x v="142"/>
    <x v="142"/>
    <x v="2"/>
    <x v="4"/>
    <x v="3"/>
    <n v="1344"/>
    <n v="169"/>
    <n v="1175"/>
    <x v="0"/>
    <n v="67"/>
    <x v="0"/>
    <x v="63"/>
    <s v="March"/>
  </r>
  <r>
    <x v="143"/>
    <x v="143"/>
    <x v="7"/>
    <x v="2"/>
    <x v="5"/>
    <n v="690"/>
    <n v="270"/>
    <n v="420"/>
    <x v="3"/>
    <n v="19"/>
    <x v="0"/>
    <x v="63"/>
    <s v="March"/>
  </r>
  <r>
    <x v="144"/>
    <x v="144"/>
    <x v="5"/>
    <x v="5"/>
    <x v="4"/>
    <n v="1209"/>
    <n v="53"/>
    <n v="1156"/>
    <x v="0"/>
    <n v="49"/>
    <x v="0"/>
    <x v="64"/>
    <s v="March"/>
  </r>
  <r>
    <x v="145"/>
    <x v="145"/>
    <x v="3"/>
    <x v="4"/>
    <x v="2"/>
    <n v="674"/>
    <n v="100"/>
    <n v="574"/>
    <x v="3"/>
    <n v="26"/>
    <x v="0"/>
    <x v="64"/>
    <s v="March"/>
  </r>
  <r>
    <x v="146"/>
    <x v="146"/>
    <x v="6"/>
    <x v="2"/>
    <x v="5"/>
    <n v="1333"/>
    <n v="263"/>
    <n v="1070"/>
    <x v="3"/>
    <n v="39"/>
    <x v="0"/>
    <x v="65"/>
    <s v="March"/>
  </r>
  <r>
    <x v="147"/>
    <x v="147"/>
    <x v="0"/>
    <x v="5"/>
    <x v="1"/>
    <n v="1416"/>
    <n v="52"/>
    <n v="1364"/>
    <x v="0"/>
    <n v="66"/>
    <x v="0"/>
    <x v="65"/>
    <s v="March"/>
  </r>
  <r>
    <x v="148"/>
    <x v="148"/>
    <x v="3"/>
    <x v="0"/>
    <x v="2"/>
    <n v="1259"/>
    <n v="59"/>
    <n v="1200"/>
    <x v="3"/>
    <n v="73"/>
    <x v="1"/>
    <x v="66"/>
    <s v="March"/>
  </r>
  <r>
    <x v="149"/>
    <x v="149"/>
    <x v="2"/>
    <x v="0"/>
    <x v="4"/>
    <n v="727"/>
    <n v="107"/>
    <n v="620"/>
    <x v="3"/>
    <n v="35"/>
    <x v="1"/>
    <x v="66"/>
    <s v="March"/>
  </r>
  <r>
    <x v="150"/>
    <x v="150"/>
    <x v="4"/>
    <x v="0"/>
    <x v="1"/>
    <n v="831"/>
    <n v="4"/>
    <n v="827"/>
    <x v="3"/>
    <n v="50"/>
    <x v="0"/>
    <x v="67"/>
    <s v="March"/>
  </r>
  <r>
    <x v="151"/>
    <x v="151"/>
    <x v="0"/>
    <x v="4"/>
    <x v="4"/>
    <n v="706"/>
    <n v="102"/>
    <n v="604"/>
    <x v="2"/>
    <n v="67"/>
    <x v="1"/>
    <x v="67"/>
    <s v="March"/>
  </r>
  <r>
    <x v="152"/>
    <x v="152"/>
    <x v="5"/>
    <x v="1"/>
    <x v="3"/>
    <n v="1162"/>
    <n v="195"/>
    <n v="967"/>
    <x v="1"/>
    <n v="37"/>
    <x v="0"/>
    <x v="67"/>
    <s v="March"/>
  </r>
  <r>
    <x v="153"/>
    <x v="153"/>
    <x v="6"/>
    <x v="5"/>
    <x v="5"/>
    <n v="795"/>
    <n v="261"/>
    <n v="534"/>
    <x v="2"/>
    <n v="30"/>
    <x v="1"/>
    <x v="68"/>
    <s v="March"/>
  </r>
  <r>
    <x v="154"/>
    <x v="154"/>
    <x v="1"/>
    <x v="0"/>
    <x v="5"/>
    <n v="945"/>
    <n v="46"/>
    <n v="899"/>
    <x v="3"/>
    <n v="71"/>
    <x v="0"/>
    <x v="68"/>
    <s v="March"/>
  </r>
  <r>
    <x v="155"/>
    <x v="155"/>
    <x v="3"/>
    <x v="3"/>
    <x v="5"/>
    <n v="1201"/>
    <n v="143"/>
    <n v="1058"/>
    <x v="1"/>
    <n v="53"/>
    <x v="0"/>
    <x v="69"/>
    <s v="March"/>
  </r>
  <r>
    <x v="156"/>
    <x v="156"/>
    <x v="2"/>
    <x v="5"/>
    <x v="0"/>
    <n v="1404"/>
    <n v="268"/>
    <n v="1136"/>
    <x v="2"/>
    <n v="59"/>
    <x v="0"/>
    <x v="69"/>
    <s v="March"/>
  </r>
  <r>
    <x v="157"/>
    <x v="157"/>
    <x v="6"/>
    <x v="5"/>
    <x v="4"/>
    <n v="339"/>
    <n v="123"/>
    <n v="216"/>
    <x v="2"/>
    <n v="67"/>
    <x v="0"/>
    <x v="70"/>
    <s v="March"/>
  </r>
  <r>
    <x v="158"/>
    <x v="158"/>
    <x v="3"/>
    <x v="1"/>
    <x v="5"/>
    <n v="1398"/>
    <n v="105"/>
    <n v="1293"/>
    <x v="2"/>
    <n v="56"/>
    <x v="1"/>
    <x v="70"/>
    <s v="March"/>
  </r>
  <r>
    <x v="159"/>
    <x v="159"/>
    <x v="3"/>
    <x v="2"/>
    <x v="3"/>
    <n v="1456"/>
    <n v="157"/>
    <n v="1299"/>
    <x v="0"/>
    <n v="72"/>
    <x v="0"/>
    <x v="71"/>
    <s v="March"/>
  </r>
  <r>
    <x v="160"/>
    <x v="160"/>
    <x v="1"/>
    <x v="1"/>
    <x v="5"/>
    <n v="782"/>
    <n v="146"/>
    <n v="636"/>
    <x v="3"/>
    <n v="53"/>
    <x v="1"/>
    <x v="71"/>
    <s v="March"/>
  </r>
  <r>
    <x v="161"/>
    <x v="161"/>
    <x v="0"/>
    <x v="0"/>
    <x v="4"/>
    <n v="777"/>
    <n v="144"/>
    <n v="633"/>
    <x v="3"/>
    <n v="28"/>
    <x v="1"/>
    <x v="72"/>
    <s v="March"/>
  </r>
  <r>
    <x v="162"/>
    <x v="162"/>
    <x v="3"/>
    <x v="3"/>
    <x v="5"/>
    <n v="1122"/>
    <n v="119"/>
    <n v="1003"/>
    <x v="1"/>
    <n v="45"/>
    <x v="0"/>
    <x v="72"/>
    <s v="March"/>
  </r>
  <r>
    <x v="163"/>
    <x v="163"/>
    <x v="4"/>
    <x v="3"/>
    <x v="4"/>
    <n v="1432"/>
    <n v="274"/>
    <n v="1158"/>
    <x v="2"/>
    <n v="72"/>
    <x v="1"/>
    <x v="72"/>
    <s v="March"/>
  </r>
  <r>
    <x v="164"/>
    <x v="164"/>
    <x v="7"/>
    <x v="0"/>
    <x v="1"/>
    <n v="859"/>
    <n v="91"/>
    <n v="768"/>
    <x v="3"/>
    <n v="19"/>
    <x v="0"/>
    <x v="73"/>
    <s v="March"/>
  </r>
  <r>
    <x v="165"/>
    <x v="165"/>
    <x v="1"/>
    <x v="3"/>
    <x v="3"/>
    <n v="798"/>
    <n v="57"/>
    <n v="741"/>
    <x v="2"/>
    <n v="49"/>
    <x v="1"/>
    <x v="73"/>
    <s v="March"/>
  </r>
  <r>
    <x v="166"/>
    <x v="166"/>
    <x v="3"/>
    <x v="1"/>
    <x v="4"/>
    <n v="467"/>
    <n v="228"/>
    <n v="239"/>
    <x v="3"/>
    <n v="37"/>
    <x v="0"/>
    <x v="74"/>
    <s v="March"/>
  </r>
  <r>
    <x v="167"/>
    <x v="167"/>
    <x v="0"/>
    <x v="4"/>
    <x v="4"/>
    <n v="1398"/>
    <n v="116"/>
    <n v="1282"/>
    <x v="2"/>
    <n v="43"/>
    <x v="1"/>
    <x v="74"/>
    <s v="March"/>
  </r>
  <r>
    <x v="168"/>
    <x v="168"/>
    <x v="3"/>
    <x v="1"/>
    <x v="0"/>
    <n v="1407"/>
    <n v="278"/>
    <n v="1129"/>
    <x v="3"/>
    <n v="57"/>
    <x v="1"/>
    <x v="75"/>
    <s v="March"/>
  </r>
  <r>
    <x v="169"/>
    <x v="169"/>
    <x v="3"/>
    <x v="4"/>
    <x v="1"/>
    <n v="833"/>
    <n v="126"/>
    <n v="707"/>
    <x v="1"/>
    <n v="25"/>
    <x v="0"/>
    <x v="75"/>
    <s v="March"/>
  </r>
  <r>
    <x v="170"/>
    <x v="170"/>
    <x v="4"/>
    <x v="0"/>
    <x v="3"/>
    <n v="813"/>
    <n v="128"/>
    <n v="685"/>
    <x v="2"/>
    <n v="32"/>
    <x v="1"/>
    <x v="76"/>
    <s v="March"/>
  </r>
  <r>
    <x v="171"/>
    <x v="171"/>
    <x v="6"/>
    <x v="3"/>
    <x v="0"/>
    <n v="1406"/>
    <n v="57"/>
    <n v="1349"/>
    <x v="3"/>
    <n v="61"/>
    <x v="1"/>
    <x v="76"/>
    <s v="March"/>
  </r>
  <r>
    <x v="172"/>
    <x v="172"/>
    <x v="5"/>
    <x v="5"/>
    <x v="5"/>
    <n v="1286"/>
    <n v="121"/>
    <n v="1165"/>
    <x v="1"/>
    <n v="26"/>
    <x v="0"/>
    <x v="76"/>
    <s v="March"/>
  </r>
  <r>
    <x v="173"/>
    <x v="173"/>
    <x v="7"/>
    <x v="2"/>
    <x v="4"/>
    <n v="591"/>
    <n v="0"/>
    <n v="591"/>
    <x v="1"/>
    <n v="23"/>
    <x v="0"/>
    <x v="77"/>
    <s v="March"/>
  </r>
  <r>
    <x v="174"/>
    <x v="174"/>
    <x v="7"/>
    <x v="5"/>
    <x v="3"/>
    <n v="713"/>
    <n v="238"/>
    <n v="475"/>
    <x v="3"/>
    <n v="24"/>
    <x v="0"/>
    <x v="77"/>
    <s v="March"/>
  </r>
  <r>
    <x v="175"/>
    <x v="175"/>
    <x v="3"/>
    <x v="4"/>
    <x v="1"/>
    <n v="1441"/>
    <n v="289"/>
    <n v="1152"/>
    <x v="2"/>
    <n v="72"/>
    <x v="0"/>
    <x v="78"/>
    <s v="March"/>
  </r>
  <r>
    <x v="176"/>
    <x v="176"/>
    <x v="1"/>
    <x v="1"/>
    <x v="0"/>
    <n v="1286"/>
    <n v="95"/>
    <n v="1191"/>
    <x v="0"/>
    <n v="58"/>
    <x v="1"/>
    <x v="78"/>
    <s v="March"/>
  </r>
  <r>
    <x v="177"/>
    <x v="177"/>
    <x v="5"/>
    <x v="1"/>
    <x v="4"/>
    <n v="1101"/>
    <n v="125"/>
    <n v="976"/>
    <x v="1"/>
    <n v="31"/>
    <x v="0"/>
    <x v="79"/>
    <s v="March"/>
  </r>
  <r>
    <x v="178"/>
    <x v="178"/>
    <x v="5"/>
    <x v="1"/>
    <x v="2"/>
    <n v="1254"/>
    <n v="117"/>
    <n v="1137"/>
    <x v="1"/>
    <n v="52"/>
    <x v="0"/>
    <x v="79"/>
    <s v="March"/>
  </r>
  <r>
    <x v="179"/>
    <x v="179"/>
    <x v="5"/>
    <x v="1"/>
    <x v="3"/>
    <n v="848"/>
    <n v="47"/>
    <n v="801"/>
    <x v="3"/>
    <n v="21"/>
    <x v="0"/>
    <x v="80"/>
    <s v="March"/>
  </r>
  <r>
    <x v="180"/>
    <x v="180"/>
    <x v="0"/>
    <x v="2"/>
    <x v="0"/>
    <n v="262"/>
    <n v="88"/>
    <n v="174"/>
    <x v="0"/>
    <n v="60"/>
    <x v="0"/>
    <x v="80"/>
    <s v="March"/>
  </r>
  <r>
    <x v="181"/>
    <x v="181"/>
    <x v="0"/>
    <x v="0"/>
    <x v="1"/>
    <n v="151"/>
    <n v="236"/>
    <n v="-85"/>
    <x v="0"/>
    <n v="27"/>
    <x v="1"/>
    <x v="80"/>
    <s v="March"/>
  </r>
  <r>
    <x v="182"/>
    <x v="182"/>
    <x v="4"/>
    <x v="1"/>
    <x v="0"/>
    <n v="791"/>
    <n v="271"/>
    <n v="520"/>
    <x v="0"/>
    <n v="54"/>
    <x v="1"/>
    <x v="81"/>
    <s v="March"/>
  </r>
  <r>
    <x v="183"/>
    <x v="183"/>
    <x v="1"/>
    <x v="4"/>
    <x v="0"/>
    <n v="369"/>
    <n v="188"/>
    <n v="181"/>
    <x v="3"/>
    <n v="56"/>
    <x v="1"/>
    <x v="81"/>
    <s v="March"/>
  </r>
  <r>
    <x v="184"/>
    <x v="184"/>
    <x v="5"/>
    <x v="3"/>
    <x v="0"/>
    <n v="1004"/>
    <n v="191"/>
    <n v="813"/>
    <x v="2"/>
    <n v="23"/>
    <x v="0"/>
    <x v="82"/>
    <s v="March"/>
  </r>
  <r>
    <x v="185"/>
    <x v="185"/>
    <x v="2"/>
    <x v="2"/>
    <x v="5"/>
    <n v="1398"/>
    <n v="68"/>
    <n v="1330"/>
    <x v="1"/>
    <n v="64"/>
    <x v="1"/>
    <x v="82"/>
    <s v="March"/>
  </r>
  <r>
    <x v="186"/>
    <x v="186"/>
    <x v="7"/>
    <x v="4"/>
    <x v="2"/>
    <n v="534"/>
    <n v="277"/>
    <n v="257"/>
    <x v="3"/>
    <n v="41"/>
    <x v="1"/>
    <x v="83"/>
    <s v="March"/>
  </r>
  <r>
    <x v="187"/>
    <x v="187"/>
    <x v="3"/>
    <x v="4"/>
    <x v="1"/>
    <n v="1303"/>
    <n v="246"/>
    <n v="1057"/>
    <x v="0"/>
    <n v="72"/>
    <x v="0"/>
    <x v="83"/>
    <s v="March"/>
  </r>
  <r>
    <x v="188"/>
    <x v="188"/>
    <x v="3"/>
    <x v="1"/>
    <x v="1"/>
    <n v="1226"/>
    <n v="75"/>
    <n v="1151"/>
    <x v="1"/>
    <n v="16"/>
    <x v="1"/>
    <x v="84"/>
    <s v="March"/>
  </r>
  <r>
    <x v="189"/>
    <x v="189"/>
    <x v="5"/>
    <x v="3"/>
    <x v="1"/>
    <n v="879"/>
    <n v="153"/>
    <n v="726"/>
    <x v="1"/>
    <n v="19"/>
    <x v="1"/>
    <x v="84"/>
    <s v="March"/>
  </r>
  <r>
    <x v="190"/>
    <x v="190"/>
    <x v="5"/>
    <x v="1"/>
    <x v="4"/>
    <n v="396"/>
    <n v="143"/>
    <n v="253"/>
    <x v="0"/>
    <n v="43"/>
    <x v="0"/>
    <x v="84"/>
    <s v="March"/>
  </r>
  <r>
    <x v="191"/>
    <x v="191"/>
    <x v="2"/>
    <x v="4"/>
    <x v="3"/>
    <n v="985"/>
    <n v="85"/>
    <n v="900"/>
    <x v="0"/>
    <n v="51"/>
    <x v="1"/>
    <x v="85"/>
    <s v="March"/>
  </r>
  <r>
    <x v="192"/>
    <x v="192"/>
    <x v="3"/>
    <x v="0"/>
    <x v="1"/>
    <n v="352"/>
    <n v="184"/>
    <n v="168"/>
    <x v="1"/>
    <n v="52"/>
    <x v="0"/>
    <x v="85"/>
    <s v="March"/>
  </r>
  <r>
    <x v="193"/>
    <x v="193"/>
    <x v="4"/>
    <x v="2"/>
    <x v="3"/>
    <n v="1357"/>
    <n v="284"/>
    <n v="1073"/>
    <x v="1"/>
    <n v="33"/>
    <x v="1"/>
    <x v="86"/>
    <s v="March"/>
  </r>
  <r>
    <x v="194"/>
    <x v="194"/>
    <x v="5"/>
    <x v="0"/>
    <x v="1"/>
    <n v="272"/>
    <n v="219"/>
    <n v="53"/>
    <x v="2"/>
    <n v="22"/>
    <x v="1"/>
    <x v="86"/>
    <s v="March"/>
  </r>
  <r>
    <x v="195"/>
    <x v="195"/>
    <x v="7"/>
    <x v="2"/>
    <x v="2"/>
    <n v="550"/>
    <n v="68"/>
    <n v="482"/>
    <x v="2"/>
    <n v="62"/>
    <x v="0"/>
    <x v="87"/>
    <s v="March"/>
  </r>
  <r>
    <x v="196"/>
    <x v="196"/>
    <x v="6"/>
    <x v="1"/>
    <x v="4"/>
    <n v="916"/>
    <n v="46"/>
    <n v="870"/>
    <x v="3"/>
    <n v="59"/>
    <x v="1"/>
    <x v="87"/>
    <s v="March"/>
  </r>
  <r>
    <x v="197"/>
    <x v="197"/>
    <x v="1"/>
    <x v="1"/>
    <x v="4"/>
    <n v="443"/>
    <n v="93"/>
    <n v="350"/>
    <x v="1"/>
    <n v="15"/>
    <x v="0"/>
    <x v="88"/>
    <s v="March"/>
  </r>
  <r>
    <x v="198"/>
    <x v="198"/>
    <x v="4"/>
    <x v="2"/>
    <x v="0"/>
    <n v="429"/>
    <n v="237"/>
    <n v="192"/>
    <x v="2"/>
    <n v="36"/>
    <x v="0"/>
    <x v="88"/>
    <s v="March"/>
  </r>
  <r>
    <x v="199"/>
    <x v="199"/>
    <x v="7"/>
    <x v="3"/>
    <x v="5"/>
    <n v="1033"/>
    <n v="203"/>
    <n v="830"/>
    <x v="1"/>
    <n v="66"/>
    <x v="0"/>
    <x v="89"/>
    <s v="Marc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O7:P10" firstHeaderRow="1" firstDataRow="1" firstDataCol="1"/>
  <pivotFields count="13">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22" showAll="0"/>
    <pivotField showAll="0">
      <items count="9">
        <item x="0"/>
        <item x="7"/>
        <item x="4"/>
        <item x="1"/>
        <item x="2"/>
        <item x="3"/>
        <item x="6"/>
        <item x="5"/>
        <item t="default"/>
      </items>
    </pivotField>
    <pivotField showAll="0">
      <items count="7">
        <item x="2"/>
        <item x="5"/>
        <item x="1"/>
        <item x="0"/>
        <item x="3"/>
        <item x="4"/>
        <item t="default"/>
      </items>
    </pivotField>
    <pivotField showAll="0">
      <items count="7">
        <item x="2"/>
        <item x="5"/>
        <item x="4"/>
        <item x="1"/>
        <item x="0"/>
        <item x="3"/>
        <item t="default"/>
      </items>
    </pivotField>
    <pivotField showAll="0"/>
    <pivotField showAll="0"/>
    <pivotField showAll="0"/>
    <pivotField showAll="0">
      <items count="5">
        <item x="2"/>
        <item x="3"/>
        <item x="1"/>
        <item x="0"/>
        <item t="default"/>
      </items>
    </pivotField>
    <pivotField showAll="0"/>
    <pivotField axis="axisRow" showAll="0">
      <items count="3">
        <item x="0"/>
        <item x="1"/>
        <item t="default"/>
      </items>
    </pivotField>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s>
  <rowFields count="1">
    <field x="10"/>
  </rowFields>
  <rowItems count="3">
    <i>
      <x/>
    </i>
    <i>
      <x v="1"/>
    </i>
    <i t="grand">
      <x/>
    </i>
  </rowItems>
  <colItems count="1">
    <i/>
  </colItems>
  <dataFields count="1">
    <dataField name="Count of Order ID" fld="0" subtotal="count" baseField="0" baseItem="0"/>
  </dataFields>
  <chartFormats count="8">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0" count="1" selected="0">
            <x v="0"/>
          </reference>
        </references>
      </pivotArea>
    </chartFormat>
    <chartFormat chart="16" format="8">
      <pivotArea type="data" outline="0" fieldPosition="0">
        <references count="2">
          <reference field="4294967294" count="1" selected="0">
            <x v="0"/>
          </reference>
          <reference field="10"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0" count="1" selected="0">
            <x v="0"/>
          </reference>
        </references>
      </pivotArea>
    </chartFormat>
    <chartFormat chart="17"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D24:E31" firstHeaderRow="1" firstDataRow="1" firstDataCol="1"/>
  <pivotFields count="13">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22" showAll="0"/>
    <pivotField showAll="0">
      <items count="9">
        <item x="0"/>
        <item x="7"/>
        <item x="4"/>
        <item x="1"/>
        <item x="2"/>
        <item x="3"/>
        <item x="6"/>
        <item x="5"/>
        <item t="default"/>
      </items>
    </pivotField>
    <pivotField axis="axisRow" showAll="0">
      <items count="7">
        <item x="2"/>
        <item x="5"/>
        <item x="1"/>
        <item x="0"/>
        <item x="3"/>
        <item x="4"/>
        <item t="default"/>
      </items>
    </pivotField>
    <pivotField showAll="0">
      <items count="7">
        <item x="2"/>
        <item x="5"/>
        <item x="4"/>
        <item x="1"/>
        <item x="0"/>
        <item x="3"/>
        <item t="default"/>
      </items>
    </pivotField>
    <pivotField showAll="0"/>
    <pivotField showAll="0"/>
    <pivotField showAll="0"/>
    <pivotField showAll="0">
      <items count="5">
        <item x="2"/>
        <item x="3"/>
        <item x="1"/>
        <item x="0"/>
        <item t="default"/>
      </items>
    </pivotField>
    <pivotField showAll="0"/>
    <pivotField showAll="0"/>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s>
  <rowFields count="1">
    <field x="3"/>
  </rowFields>
  <rowItems count="7">
    <i>
      <x/>
    </i>
    <i>
      <x v="1"/>
    </i>
    <i>
      <x v="2"/>
    </i>
    <i>
      <x v="3"/>
    </i>
    <i>
      <x v="4"/>
    </i>
    <i>
      <x v="5"/>
    </i>
    <i t="grand">
      <x/>
    </i>
  </rowItems>
  <colItems count="1">
    <i/>
  </colItems>
  <dataFields count="1">
    <dataField name="Count of Order ID" fld="0" subtotal="count" baseField="0" baseItem="0"/>
  </dataFields>
  <chartFormats count="42">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 chart="4" format="12">
      <pivotArea type="data" outline="0" fieldPosition="0">
        <references count="2">
          <reference field="4294967294" count="1" selected="0">
            <x v="0"/>
          </reference>
          <reference field="3" count="1" selected="0">
            <x v="3"/>
          </reference>
        </references>
      </pivotArea>
    </chartFormat>
    <chartFormat chart="4" format="13">
      <pivotArea type="data" outline="0" fieldPosition="0">
        <references count="2">
          <reference field="4294967294" count="1" selected="0">
            <x v="0"/>
          </reference>
          <reference field="3" count="1" selected="0">
            <x v="4"/>
          </reference>
        </references>
      </pivotArea>
    </chartFormat>
    <chartFormat chart="4" format="14">
      <pivotArea type="data" outline="0" fieldPosition="0">
        <references count="2">
          <reference field="4294967294" count="1" selected="0">
            <x v="0"/>
          </reference>
          <reference field="3" count="1" selected="0">
            <x v="5"/>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3" count="1" selected="0">
            <x v="0"/>
          </reference>
        </references>
      </pivotArea>
    </chartFormat>
    <chartFormat chart="8" format="17">
      <pivotArea type="data" outline="0" fieldPosition="0">
        <references count="2">
          <reference field="4294967294" count="1" selected="0">
            <x v="0"/>
          </reference>
          <reference field="3" count="1" selected="0">
            <x v="1"/>
          </reference>
        </references>
      </pivotArea>
    </chartFormat>
    <chartFormat chart="8" format="18">
      <pivotArea type="data" outline="0" fieldPosition="0">
        <references count="2">
          <reference field="4294967294" count="1" selected="0">
            <x v="0"/>
          </reference>
          <reference field="3" count="1" selected="0">
            <x v="2"/>
          </reference>
        </references>
      </pivotArea>
    </chartFormat>
    <chartFormat chart="8" format="19">
      <pivotArea type="data" outline="0" fieldPosition="0">
        <references count="2">
          <reference field="4294967294" count="1" selected="0">
            <x v="0"/>
          </reference>
          <reference field="3" count="1" selected="0">
            <x v="3"/>
          </reference>
        </references>
      </pivotArea>
    </chartFormat>
    <chartFormat chart="8" format="20">
      <pivotArea type="data" outline="0" fieldPosition="0">
        <references count="2">
          <reference field="4294967294" count="1" selected="0">
            <x v="0"/>
          </reference>
          <reference field="3" count="1" selected="0">
            <x v="4"/>
          </reference>
        </references>
      </pivotArea>
    </chartFormat>
    <chartFormat chart="8" format="21">
      <pivotArea type="data" outline="0" fieldPosition="0">
        <references count="2">
          <reference field="4294967294" count="1" selected="0">
            <x v="0"/>
          </reference>
          <reference field="3" count="1" selected="0">
            <x v="5"/>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3" count="1" selected="0">
            <x v="0"/>
          </reference>
        </references>
      </pivotArea>
    </chartFormat>
    <chartFormat chart="9" format="24">
      <pivotArea type="data" outline="0" fieldPosition="0">
        <references count="2">
          <reference field="4294967294" count="1" selected="0">
            <x v="0"/>
          </reference>
          <reference field="3" count="1" selected="0">
            <x v="1"/>
          </reference>
        </references>
      </pivotArea>
    </chartFormat>
    <chartFormat chart="9" format="25">
      <pivotArea type="data" outline="0" fieldPosition="0">
        <references count="2">
          <reference field="4294967294" count="1" selected="0">
            <x v="0"/>
          </reference>
          <reference field="3" count="1" selected="0">
            <x v="2"/>
          </reference>
        </references>
      </pivotArea>
    </chartFormat>
    <chartFormat chart="9" format="26">
      <pivotArea type="data" outline="0" fieldPosition="0">
        <references count="2">
          <reference field="4294967294" count="1" selected="0">
            <x v="0"/>
          </reference>
          <reference field="3" count="1" selected="0">
            <x v="3"/>
          </reference>
        </references>
      </pivotArea>
    </chartFormat>
    <chartFormat chart="9" format="27">
      <pivotArea type="data" outline="0" fieldPosition="0">
        <references count="2">
          <reference field="4294967294" count="1" selected="0">
            <x v="0"/>
          </reference>
          <reference field="3" count="1" selected="0">
            <x v="4"/>
          </reference>
        </references>
      </pivotArea>
    </chartFormat>
    <chartFormat chart="9" format="28">
      <pivotArea type="data" outline="0" fieldPosition="0">
        <references count="2">
          <reference field="4294967294" count="1" selected="0">
            <x v="0"/>
          </reference>
          <reference field="3" count="1" selected="0">
            <x v="5"/>
          </reference>
        </references>
      </pivotArea>
    </chartFormat>
    <chartFormat chart="11"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3" count="1" selected="0">
            <x v="0"/>
          </reference>
        </references>
      </pivotArea>
    </chartFormat>
    <chartFormat chart="19" format="3">
      <pivotArea type="data" outline="0" fieldPosition="0">
        <references count="2">
          <reference field="4294967294" count="1" selected="0">
            <x v="0"/>
          </reference>
          <reference field="3" count="1" selected="0">
            <x v="1"/>
          </reference>
        </references>
      </pivotArea>
    </chartFormat>
    <chartFormat chart="19" format="4">
      <pivotArea type="data" outline="0" fieldPosition="0">
        <references count="2">
          <reference field="4294967294" count="1" selected="0">
            <x v="0"/>
          </reference>
          <reference field="3" count="1" selected="0">
            <x v="2"/>
          </reference>
        </references>
      </pivotArea>
    </chartFormat>
    <chartFormat chart="19" format="5">
      <pivotArea type="data" outline="0" fieldPosition="0">
        <references count="2">
          <reference field="4294967294" count="1" selected="0">
            <x v="0"/>
          </reference>
          <reference field="3" count="1" selected="0">
            <x v="3"/>
          </reference>
        </references>
      </pivotArea>
    </chartFormat>
    <chartFormat chart="19" format="6">
      <pivotArea type="data" outline="0" fieldPosition="0">
        <references count="2">
          <reference field="4294967294" count="1" selected="0">
            <x v="0"/>
          </reference>
          <reference field="3" count="1" selected="0">
            <x v="4"/>
          </reference>
        </references>
      </pivotArea>
    </chartFormat>
    <chartFormat chart="19" format="7">
      <pivotArea type="data" outline="0" fieldPosition="0">
        <references count="2">
          <reference field="4294967294" count="1" selected="0">
            <x v="0"/>
          </reference>
          <reference field="3" count="1" selected="0">
            <x v="5"/>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3" count="1" selected="0">
            <x v="0"/>
          </reference>
        </references>
      </pivotArea>
    </chartFormat>
    <chartFormat chart="20" format="10">
      <pivotArea type="data" outline="0" fieldPosition="0">
        <references count="2">
          <reference field="4294967294" count="1" selected="0">
            <x v="0"/>
          </reference>
          <reference field="3" count="1" selected="0">
            <x v="1"/>
          </reference>
        </references>
      </pivotArea>
    </chartFormat>
    <chartFormat chart="20" format="11">
      <pivotArea type="data" outline="0" fieldPosition="0">
        <references count="2">
          <reference field="4294967294" count="1" selected="0">
            <x v="0"/>
          </reference>
          <reference field="3" count="1" selected="0">
            <x v="2"/>
          </reference>
        </references>
      </pivotArea>
    </chartFormat>
    <chartFormat chart="20" format="12">
      <pivotArea type="data" outline="0" fieldPosition="0">
        <references count="2">
          <reference field="4294967294" count="1" selected="0">
            <x v="0"/>
          </reference>
          <reference field="3" count="1" selected="0">
            <x v="3"/>
          </reference>
        </references>
      </pivotArea>
    </chartFormat>
    <chartFormat chart="20" format="13">
      <pivotArea type="data" outline="0" fieldPosition="0">
        <references count="2">
          <reference field="4294967294" count="1" selected="0">
            <x v="0"/>
          </reference>
          <reference field="3" count="1" selected="0">
            <x v="4"/>
          </reference>
        </references>
      </pivotArea>
    </chartFormat>
    <chartFormat chart="20" format="14">
      <pivotArea type="data" outline="0" fieldPosition="0">
        <references count="2">
          <reference field="4294967294" count="1" selected="0">
            <x v="0"/>
          </reference>
          <reference field="3" count="1" selected="0">
            <x v="5"/>
          </reference>
        </references>
      </pivotArea>
    </chartFormat>
    <chartFormat chart="11" format="1">
      <pivotArea type="data" outline="0" fieldPosition="0">
        <references count="2">
          <reference field="4294967294" count="1" selected="0">
            <x v="0"/>
          </reference>
          <reference field="3" count="1" selected="0">
            <x v="0"/>
          </reference>
        </references>
      </pivotArea>
    </chartFormat>
    <chartFormat chart="11" format="2">
      <pivotArea type="data" outline="0" fieldPosition="0">
        <references count="2">
          <reference field="4294967294" count="1" selected="0">
            <x v="0"/>
          </reference>
          <reference field="3" count="1" selected="0">
            <x v="1"/>
          </reference>
        </references>
      </pivotArea>
    </chartFormat>
    <chartFormat chart="11" format="3">
      <pivotArea type="data" outline="0" fieldPosition="0">
        <references count="2">
          <reference field="4294967294" count="1" selected="0">
            <x v="0"/>
          </reference>
          <reference field="3" count="1" selected="0">
            <x v="2"/>
          </reference>
        </references>
      </pivotArea>
    </chartFormat>
    <chartFormat chart="11" format="4">
      <pivotArea type="data" outline="0" fieldPosition="0">
        <references count="2">
          <reference field="4294967294" count="1" selected="0">
            <x v="0"/>
          </reference>
          <reference field="3" count="1" selected="0">
            <x v="3"/>
          </reference>
        </references>
      </pivotArea>
    </chartFormat>
    <chartFormat chart="11" format="5">
      <pivotArea type="data" outline="0" fieldPosition="0">
        <references count="2">
          <reference field="4294967294" count="1" selected="0">
            <x v="0"/>
          </reference>
          <reference field="3" count="1" selected="0">
            <x v="4"/>
          </reference>
        </references>
      </pivotArea>
    </chartFormat>
    <chartFormat chart="11"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4" firstHeaderRow="0" firstDataRow="1" firstDataCol="0"/>
  <pivotFields count="13">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22" showAll="0">
      <items count="20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t="default"/>
      </items>
    </pivotField>
    <pivotField showAll="0">
      <items count="9">
        <item x="0"/>
        <item x="7"/>
        <item x="4"/>
        <item x="1"/>
        <item x="2"/>
        <item x="3"/>
        <item x="6"/>
        <item x="5"/>
        <item t="default"/>
      </items>
    </pivotField>
    <pivotField showAll="0">
      <items count="7">
        <item x="2"/>
        <item x="5"/>
        <item x="1"/>
        <item x="0"/>
        <item x="3"/>
        <item x="4"/>
        <item t="default"/>
      </items>
    </pivotField>
    <pivotField showAll="0">
      <items count="7">
        <item x="2"/>
        <item x="5"/>
        <item x="4"/>
        <item x="1"/>
        <item x="0"/>
        <item x="3"/>
        <item t="default"/>
      </items>
    </pivotField>
    <pivotField dataField="1" showAll="0"/>
    <pivotField showAll="0"/>
    <pivotField dataField="1" showAll="0"/>
    <pivotField showAll="0">
      <items count="5">
        <item x="2"/>
        <item x="3"/>
        <item x="1"/>
        <item x="0"/>
        <item t="default"/>
      </items>
    </pivotField>
    <pivotField dataField="1" showAll="0"/>
    <pivotField showAll="0"/>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s>
  <rowItems count="1">
    <i/>
  </rowItems>
  <colFields count="1">
    <field x="-2"/>
  </colFields>
  <colItems count="4">
    <i>
      <x/>
    </i>
    <i i="1">
      <x v="1"/>
    </i>
    <i i="2">
      <x v="2"/>
    </i>
    <i i="3">
      <x v="3"/>
    </i>
  </colItems>
  <dataFields count="4">
    <dataField name="Sum of Final Amount (₹)" fld="7" baseField="0" baseItem="0"/>
    <dataField name="Count of Order ID" fld="0" subtotal="count" baseField="0" baseItem="1"/>
    <dataField name="Average of Order Value (₹)" fld="5" subtotal="average" baseField="0" baseItem="2"/>
    <dataField name="Average of Delivery Time (Minutes)" fld="9"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F23:G30" firstHeaderRow="1" firstDataRow="1" firstDataCol="1"/>
  <pivotFields count="13">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22" showAll="0"/>
    <pivotField showAll="0">
      <items count="9">
        <item x="0"/>
        <item x="7"/>
        <item x="4"/>
        <item x="1"/>
        <item x="2"/>
        <item x="3"/>
        <item x="6"/>
        <item x="5"/>
        <item t="default"/>
      </items>
    </pivotField>
    <pivotField showAll="0">
      <items count="7">
        <item x="2"/>
        <item x="5"/>
        <item x="1"/>
        <item x="0"/>
        <item x="3"/>
        <item x="4"/>
        <item t="default"/>
      </items>
    </pivotField>
    <pivotField axis="axisRow" showAll="0">
      <items count="7">
        <item x="2"/>
        <item x="5"/>
        <item x="4"/>
        <item x="1"/>
        <item x="0"/>
        <item x="3"/>
        <item t="default"/>
      </items>
    </pivotField>
    <pivotField showAll="0"/>
    <pivotField showAll="0"/>
    <pivotField showAll="0"/>
    <pivotField showAll="0">
      <items count="5">
        <item x="2"/>
        <item x="3"/>
        <item x="1"/>
        <item x="0"/>
        <item t="default"/>
      </items>
    </pivotField>
    <pivotField showAll="0"/>
    <pivotField showAll="0"/>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s>
  <rowFields count="1">
    <field x="4"/>
  </rowFields>
  <rowItems count="7">
    <i>
      <x/>
    </i>
    <i>
      <x v="1"/>
    </i>
    <i>
      <x v="2"/>
    </i>
    <i>
      <x v="3"/>
    </i>
    <i>
      <x v="4"/>
    </i>
    <i>
      <x v="5"/>
    </i>
    <i t="grand">
      <x/>
    </i>
  </rowItems>
  <colItems count="1">
    <i/>
  </colItems>
  <dataFields count="1">
    <dataField name="Count of Order ID" fld="0" subtotal="count" baseField="0" baseItem="0"/>
  </dataFields>
  <chartFormats count="5">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4" count="1" selected="0">
            <x v="4"/>
          </reference>
        </references>
      </pivotArea>
    </chartFormat>
    <chartFormat chart="9"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5">
  <location ref="A11:B102" firstHeaderRow="1" firstDataRow="1" firstDataCol="1"/>
  <pivotFields count="13">
    <pivotField showAll="0"/>
    <pivotField numFmtId="22" showAll="0"/>
    <pivotField showAll="0">
      <items count="9">
        <item x="0"/>
        <item x="7"/>
        <item x="4"/>
        <item x="1"/>
        <item x="2"/>
        <item x="3"/>
        <item x="6"/>
        <item x="5"/>
        <item t="default"/>
      </items>
    </pivotField>
    <pivotField showAll="0">
      <items count="7">
        <item x="2"/>
        <item x="5"/>
        <item x="1"/>
        <item x="0"/>
        <item x="3"/>
        <item x="4"/>
        <item t="default"/>
      </items>
    </pivotField>
    <pivotField showAll="0">
      <items count="7">
        <item x="2"/>
        <item x="5"/>
        <item x="4"/>
        <item x="1"/>
        <item x="0"/>
        <item x="3"/>
        <item t="default"/>
      </items>
    </pivotField>
    <pivotField showAll="0"/>
    <pivotField showAll="0"/>
    <pivotField dataField="1" showAll="0"/>
    <pivotField showAll="0">
      <items count="5">
        <item x="2"/>
        <item x="3"/>
        <item x="1"/>
        <item x="0"/>
        <item t="default"/>
      </items>
    </pivotField>
    <pivotField showAll="0"/>
    <pivotField showAll="0"/>
    <pivotField axis="axisRow"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s>
  <rowFields count="1">
    <field x="11"/>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Items count="1">
    <i/>
  </colItems>
  <dataFields count="1">
    <dataField name="Sum of Final Amount (₹)" fld="7" baseField="0" baseItem="0"/>
  </dataFields>
  <chartFormats count="4">
    <chartFormat chart="29" format="4"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location ref="D15:E20" firstHeaderRow="1" firstDataRow="1" firstDataCol="1"/>
  <pivotFields count="13">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22" showAll="0"/>
    <pivotField showAll="0">
      <items count="9">
        <item x="0"/>
        <item x="7"/>
        <item x="4"/>
        <item x="1"/>
        <item x="2"/>
        <item x="3"/>
        <item x="6"/>
        <item x="5"/>
        <item t="default"/>
      </items>
    </pivotField>
    <pivotField showAll="0">
      <items count="7">
        <item x="2"/>
        <item x="5"/>
        <item x="1"/>
        <item x="0"/>
        <item x="3"/>
        <item x="4"/>
        <item t="default"/>
      </items>
    </pivotField>
    <pivotField showAll="0">
      <items count="7">
        <item x="2"/>
        <item x="5"/>
        <item x="4"/>
        <item x="1"/>
        <item x="0"/>
        <item x="3"/>
        <item t="default"/>
      </items>
    </pivotField>
    <pivotField showAll="0"/>
    <pivotField showAll="0"/>
    <pivotField showAll="0"/>
    <pivotField axis="axisRow" showAll="0">
      <items count="5">
        <item x="3"/>
        <item x="1"/>
        <item x="2"/>
        <item x="0"/>
        <item t="default"/>
      </items>
    </pivotField>
    <pivotField showAll="0"/>
    <pivotField showAll="0"/>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s>
  <rowFields count="1">
    <field x="8"/>
  </rowFields>
  <rowItems count="5">
    <i>
      <x/>
    </i>
    <i>
      <x v="1"/>
    </i>
    <i>
      <x v="2"/>
    </i>
    <i>
      <x v="3"/>
    </i>
    <i t="grand">
      <x/>
    </i>
  </rowItems>
  <colItems count="1">
    <i/>
  </colItems>
  <dataFields count="1">
    <dataField name="Count of Order ID" fld="0" subtotal="count" baseField="0" baseItem="0"/>
  </dataFields>
  <chartFormats count="21">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8" count="1" selected="0">
            <x v="2"/>
          </reference>
        </references>
      </pivotArea>
    </chartFormat>
    <chartFormat chart="6" format="8">
      <pivotArea type="data" outline="0" fieldPosition="0">
        <references count="2">
          <reference field="4294967294" count="1" selected="0">
            <x v="0"/>
          </reference>
          <reference field="8" count="1" selected="0">
            <x v="0"/>
          </reference>
        </references>
      </pivotArea>
    </chartFormat>
    <chartFormat chart="6" format="9">
      <pivotArea type="data" outline="0" fieldPosition="0">
        <references count="2">
          <reference field="4294967294" count="1" selected="0">
            <x v="0"/>
          </reference>
          <reference field="8" count="1" selected="0">
            <x v="1"/>
          </reference>
        </references>
      </pivotArea>
    </chartFormat>
    <chartFormat chart="6" format="10">
      <pivotArea type="data" outline="0" fieldPosition="0">
        <references count="2">
          <reference field="4294967294" count="1" selected="0">
            <x v="0"/>
          </reference>
          <reference field="8" count="1" selected="0">
            <x v="3"/>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8" count="1" selected="0">
            <x v="2"/>
          </reference>
        </references>
      </pivotArea>
    </chartFormat>
    <chartFormat chart="9" format="18">
      <pivotArea type="data" outline="0" fieldPosition="0">
        <references count="2">
          <reference field="4294967294" count="1" selected="0">
            <x v="0"/>
          </reference>
          <reference field="8" count="1" selected="0">
            <x v="0"/>
          </reference>
        </references>
      </pivotArea>
    </chartFormat>
    <chartFormat chart="9" format="19">
      <pivotArea type="data" outline="0" fieldPosition="0">
        <references count="2">
          <reference field="4294967294" count="1" selected="0">
            <x v="0"/>
          </reference>
          <reference field="8" count="1" selected="0">
            <x v="1"/>
          </reference>
        </references>
      </pivotArea>
    </chartFormat>
    <chartFormat chart="9" format="20">
      <pivotArea type="data" outline="0" fieldPosition="0">
        <references count="2">
          <reference field="4294967294" count="1" selected="0">
            <x v="0"/>
          </reference>
          <reference field="8" count="1" selected="0">
            <x v="3"/>
          </reference>
        </references>
      </pivotArea>
    </chartFormat>
    <chartFormat chart="13"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8" count="1" selected="0">
            <x v="0"/>
          </reference>
        </references>
      </pivotArea>
    </chartFormat>
    <chartFormat chart="20" format="3">
      <pivotArea type="data" outline="0" fieldPosition="0">
        <references count="2">
          <reference field="4294967294" count="1" selected="0">
            <x v="0"/>
          </reference>
          <reference field="8" count="1" selected="0">
            <x v="1"/>
          </reference>
        </references>
      </pivotArea>
    </chartFormat>
    <chartFormat chart="20" format="4">
      <pivotArea type="data" outline="0" fieldPosition="0">
        <references count="2">
          <reference field="4294967294" count="1" selected="0">
            <x v="0"/>
          </reference>
          <reference field="8" count="1" selected="0">
            <x v="2"/>
          </reference>
        </references>
      </pivotArea>
    </chartFormat>
    <chartFormat chart="20" format="5">
      <pivotArea type="data" outline="0" fieldPosition="0">
        <references count="2">
          <reference field="4294967294" count="1" selected="0">
            <x v="0"/>
          </reference>
          <reference field="8" count="1" selected="0">
            <x v="3"/>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8" count="1" selected="0">
            <x v="0"/>
          </reference>
        </references>
      </pivotArea>
    </chartFormat>
    <chartFormat chart="21" format="8">
      <pivotArea type="data" outline="0" fieldPosition="0">
        <references count="2">
          <reference field="4294967294" count="1" selected="0">
            <x v="0"/>
          </reference>
          <reference field="8" count="1" selected="0">
            <x v="1"/>
          </reference>
        </references>
      </pivotArea>
    </chartFormat>
    <chartFormat chart="21" format="9">
      <pivotArea type="data" outline="0" fieldPosition="0">
        <references count="2">
          <reference field="4294967294" count="1" selected="0">
            <x v="0"/>
          </reference>
          <reference field="8" count="1" selected="0">
            <x v="2"/>
          </reference>
        </references>
      </pivotArea>
    </chartFormat>
    <chartFormat chart="21"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F8:G17" firstHeaderRow="1" firstDataRow="1" firstDataCol="1"/>
  <pivotFields count="13">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22" showAll="0"/>
    <pivotField axis="axisRow" showAll="0" sortType="descending">
      <items count="9">
        <item x="0"/>
        <item x="7"/>
        <item x="4"/>
        <item x="1"/>
        <item x="2"/>
        <item x="3"/>
        <item x="6"/>
        <item x="5"/>
        <item t="default"/>
      </items>
      <autoSortScope>
        <pivotArea dataOnly="0" outline="0" fieldPosition="0">
          <references count="1">
            <reference field="4294967294" count="1" selected="0">
              <x v="0"/>
            </reference>
          </references>
        </pivotArea>
      </autoSortScope>
    </pivotField>
    <pivotField showAll="0">
      <items count="7">
        <item x="2"/>
        <item x="5"/>
        <item x="1"/>
        <item x="0"/>
        <item x="3"/>
        <item x="4"/>
        <item t="default"/>
      </items>
    </pivotField>
    <pivotField showAll="0">
      <items count="7">
        <item x="2"/>
        <item x="5"/>
        <item x="4"/>
        <item x="1"/>
        <item x="0"/>
        <item x="3"/>
        <item t="default"/>
      </items>
    </pivotField>
    <pivotField showAll="0"/>
    <pivotField showAll="0"/>
    <pivotField dataField="1" showAll="0"/>
    <pivotField showAll="0">
      <items count="5">
        <item x="2"/>
        <item x="3"/>
        <item x="1"/>
        <item x="0"/>
        <item t="default"/>
      </items>
    </pivotField>
    <pivotField showAll="0"/>
    <pivotField showAll="0"/>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s>
  <rowFields count="1">
    <field x="2"/>
  </rowFields>
  <rowItems count="9">
    <i>
      <x v="5"/>
    </i>
    <i>
      <x v="3"/>
    </i>
    <i>
      <x v="6"/>
    </i>
    <i>
      <x v="2"/>
    </i>
    <i>
      <x/>
    </i>
    <i>
      <x v="4"/>
    </i>
    <i>
      <x v="1"/>
    </i>
    <i>
      <x v="7"/>
    </i>
    <i t="grand">
      <x/>
    </i>
  </rowItems>
  <colItems count="1">
    <i/>
  </colItems>
  <dataFields count="1">
    <dataField name="Sum of Final Amount (₹)" fld="7" baseField="0" baseItem="0"/>
  </dataFields>
  <chartFormats count="11">
    <chartFormat chart="10"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2" count="1" selected="0">
            <x v="5"/>
          </reference>
        </references>
      </pivotArea>
    </chartFormat>
    <chartFormat chart="19" format="4">
      <pivotArea type="data" outline="0" fieldPosition="0">
        <references count="2">
          <reference field="4294967294" count="1" selected="0">
            <x v="0"/>
          </reference>
          <reference field="2" count="1" selected="0">
            <x v="3"/>
          </reference>
        </references>
      </pivotArea>
    </chartFormat>
    <chartFormat chart="19" format="5">
      <pivotArea type="data" outline="0" fieldPosition="0">
        <references count="2">
          <reference field="4294967294" count="1" selected="0">
            <x v="0"/>
          </reference>
          <reference field="2" count="1" selected="0">
            <x v="6"/>
          </reference>
        </references>
      </pivotArea>
    </chartFormat>
    <chartFormat chart="19" format="6">
      <pivotArea type="data" outline="0" fieldPosition="0">
        <references count="2">
          <reference field="4294967294" count="1" selected="0">
            <x v="0"/>
          </reference>
          <reference field="2" count="1" selected="0">
            <x v="2"/>
          </reference>
        </references>
      </pivotArea>
    </chartFormat>
    <chartFormat chart="19" format="7">
      <pivotArea type="data" outline="0" fieldPosition="0">
        <references count="2">
          <reference field="4294967294" count="1" selected="0">
            <x v="0"/>
          </reference>
          <reference field="2" count="1" selected="0">
            <x v="0"/>
          </reference>
        </references>
      </pivotArea>
    </chartFormat>
    <chartFormat chart="19" format="8">
      <pivotArea type="data" outline="0" fieldPosition="0">
        <references count="2">
          <reference field="4294967294" count="1" selected="0">
            <x v="0"/>
          </reference>
          <reference field="2" count="1" selected="0">
            <x v="4"/>
          </reference>
        </references>
      </pivotArea>
    </chartFormat>
    <chartFormat chart="19" format="9">
      <pivotArea type="data" outline="0" fieldPosition="0">
        <references count="2">
          <reference field="4294967294" count="1" selected="0">
            <x v="0"/>
          </reference>
          <reference field="2" count="1" selected="0">
            <x v="1"/>
          </reference>
        </references>
      </pivotArea>
    </chartFormat>
    <chartFormat chart="19" format="10">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4">
    <queryTableFields count="13">
      <queryTableField id="1" name="Order ID" tableColumnId="26"/>
      <queryTableField id="2" name="Order Date" tableColumnId="27"/>
      <queryTableField id="3" name="Restaurant Name" tableColumnId="28"/>
      <queryTableField id="4" name="Cuisine Type" tableColumnId="29"/>
      <queryTableField id="5" name="Customer Location" tableColumnId="30"/>
      <queryTableField id="6" name="Order Value (₹)" tableColumnId="31"/>
      <queryTableField id="7" name="Discount (₹)" tableColumnId="32"/>
      <queryTableField id="8" name="Final Amount (₹)" tableColumnId="33"/>
      <queryTableField id="9" name="Payment Method" tableColumnId="34"/>
      <queryTableField id="10" name="Delivery Time (Minutes)" tableColumnId="35"/>
      <queryTableField id="11" name="Order Status" tableColumnId="36"/>
      <queryTableField id="12" name="Date" tableColumnId="37"/>
      <queryTableField id="13" name="Month Name"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2" name="PivotTable9"/>
    <pivotTable tabId="2" name="PivotTable8"/>
    <pivotTable tabId="2" name="PivotTable7"/>
    <pivotTable tabId="2" name="PivotTable12"/>
    <pivotTable tabId="2" name="PivotTable11"/>
    <pivotTable tabId="2" name="PivotTable10"/>
    <pivotTable tabId="2" name="PivotTable3"/>
  </pivotTables>
  <data>
    <tabular pivotCacheId="2">
      <items count="9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staurant_Name" sourceName="Restaurant Name">
  <pivotTables>
    <pivotTable tabId="2" name="PivotTable10"/>
    <pivotTable tabId="2" name="PivotTable11"/>
    <pivotTable tabId="2" name="PivotTable12"/>
    <pivotTable tabId="2" name="PivotTable3"/>
    <pivotTable tabId="2" name="PivotTable7"/>
    <pivotTable tabId="2" name="PivotTable8"/>
    <pivotTable tabId="2" name="PivotTable9"/>
  </pivotTables>
  <data>
    <tabular pivotCacheId="2">
      <items count="8">
        <i x="0" s="1"/>
        <i x="7" s="1"/>
        <i x="4" s="1"/>
        <i x="1" s="1"/>
        <i x="2" s="1"/>
        <i x="3"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isine_Type" sourceName="Cuisine Type">
  <pivotTables>
    <pivotTable tabId="2" name="PivotTable10"/>
    <pivotTable tabId="2" name="PivotTable11"/>
    <pivotTable tabId="2" name="PivotTable12"/>
    <pivotTable tabId="2" name="PivotTable3"/>
    <pivotTable tabId="2" name="PivotTable7"/>
    <pivotTable tabId="2" name="PivotTable8"/>
    <pivotTable tabId="2" name="PivotTable9"/>
  </pivotTables>
  <data>
    <tabular pivotCacheId="2">
      <items count="6">
        <i x="2" s="1"/>
        <i x="5" s="1"/>
        <i x="1" s="1"/>
        <i x="0"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ustomer_Location" sourceName="Customer Location">
  <pivotTables>
    <pivotTable tabId="2" name="PivotTable10"/>
    <pivotTable tabId="2" name="PivotTable11"/>
    <pivotTable tabId="2" name="PivotTable12"/>
    <pivotTable tabId="2" name="PivotTable3"/>
    <pivotTable tabId="2" name="PivotTable7"/>
    <pivotTable tabId="2" name="PivotTable8"/>
    <pivotTable tabId="2" name="PivotTable9"/>
  </pivotTables>
  <data>
    <tabular pivotCacheId="2">
      <items count="6">
        <i x="2" s="1"/>
        <i x="5" s="1"/>
        <i x="4"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2" name="PivotTable10"/>
    <pivotTable tabId="2" name="PivotTable11"/>
    <pivotTable tabId="2" name="PivotTable12"/>
    <pivotTable tabId="2" name="PivotTable3"/>
    <pivotTable tabId="2" name="PivotTable7"/>
    <pivotTable tabId="2" name="PivotTable8"/>
    <pivotTable tabId="2" name="PivotTable9"/>
  </pivotTables>
  <data>
    <tabular pivotCacheId="2">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3" cache="Slicer_Date" caption="Date" style="SlicerStyleDark2" rowHeight="182880"/>
  <slicer name="Restaurant Name 2" cache="Slicer_Restaurant_Name" caption="Restaurant Name" style="SlicerStyleDark2" rowHeight="182880"/>
  <slicer name="Cuisine Type 2" cache="Slicer_Cuisine_Type" caption="Cuisine Type" style="SlicerStyleDark2" rowHeight="182880"/>
  <slicer name="Customer Location 2" cache="Slicer_Customer_Location" caption="Customer Location" style="SlicerStyleDark2" rowHeight="241300"/>
  <slicer name="Payment Method 1" cache="Slicer_Payment_Method" caption="Payment Method"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wiggysales" displayName="swiggysales" ref="A1:M201" tableType="queryTable" totalsRowShown="0" headerRowDxfId="14" dataDxfId="13">
  <tableColumns count="13">
    <tableColumn id="26" uniqueName="26" name="Order ID" queryTableFieldId="1" dataDxfId="12"/>
    <tableColumn id="27" uniqueName="27" name="Order Date" queryTableFieldId="2" dataDxfId="11"/>
    <tableColumn id="28" uniqueName="28" name="Restaurant Name" queryTableFieldId="3" dataDxfId="10"/>
    <tableColumn id="29" uniqueName="29" name="Cuisine Type" queryTableFieldId="4" dataDxfId="9"/>
    <tableColumn id="30" uniqueName="30" name="Customer Location" queryTableFieldId="5" dataDxfId="8"/>
    <tableColumn id="31" uniqueName="31" name="Order Value (₹)" queryTableFieldId="6" dataDxfId="7"/>
    <tableColumn id="32" uniqueName="32" name="Discount (₹)" queryTableFieldId="7" dataDxfId="6"/>
    <tableColumn id="33" uniqueName="33" name="Final Amount (₹)" queryTableFieldId="8" dataDxfId="5"/>
    <tableColumn id="34" uniqueName="34" name="Payment Method" queryTableFieldId="9" dataDxfId="4"/>
    <tableColumn id="35" uniqueName="35" name="Delivery Time (Minutes)" queryTableFieldId="10" dataDxfId="3"/>
    <tableColumn id="36" uniqueName="36" name="Order Status" queryTableFieldId="11" dataDxfId="2"/>
    <tableColumn id="37" uniqueName="37" name="Date" queryTableFieldId="12" dataDxfId="1"/>
    <tableColumn id="38" uniqueName="38" name="Month Name" queryTableFieldId="13" dataDxfId="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
  <sheetViews>
    <sheetView topLeftCell="C1" zoomScale="80" zoomScaleNormal="80" workbookViewId="0">
      <selection activeCell="C1" sqref="A1:XFD1048576"/>
    </sheetView>
  </sheetViews>
  <sheetFormatPr defaultRowHeight="14.5"/>
  <cols>
    <col min="1" max="1" width="11.6328125" customWidth="1"/>
    <col min="2" max="2" width="25.7265625" customWidth="1"/>
    <col min="3" max="3" width="24.54296875" customWidth="1"/>
    <col min="4" max="4" width="17.90625" customWidth="1"/>
    <col min="5" max="5" width="18.90625" bestFit="1" customWidth="1"/>
    <col min="6" max="6" width="16" bestFit="1" customWidth="1"/>
    <col min="7" max="7" width="13.1796875" bestFit="1" customWidth="1"/>
    <col min="8" max="8" width="17.08984375" bestFit="1" customWidth="1"/>
    <col min="9" max="9" width="17.81640625" bestFit="1" customWidth="1"/>
    <col min="10" max="10" width="23.1796875" bestFit="1" customWidth="1"/>
    <col min="11" max="11" width="15.54296875" customWidth="1"/>
    <col min="12" max="12" width="13.6328125" customWidth="1"/>
    <col min="13" max="13" width="16" customWidth="1"/>
    <col min="14" max="14" width="14.54296875" bestFit="1" customWidth="1"/>
    <col min="15" max="15" width="17.81640625" bestFit="1" customWidth="1"/>
    <col min="16" max="16" width="13.54296875" bestFit="1" customWidth="1"/>
    <col min="17" max="17" width="18.90625" bestFit="1" customWidth="1"/>
    <col min="18" max="18" width="16" bestFit="1" customWidth="1"/>
    <col min="19" max="19" width="13.1796875" bestFit="1" customWidth="1"/>
    <col min="20" max="20" width="17.08984375" bestFit="1" customWidth="1"/>
    <col min="21" max="21" width="17.81640625" bestFit="1" customWidth="1"/>
    <col min="22" max="22" width="23.1796875" bestFit="1" customWidth="1"/>
    <col min="23" max="23" width="13.7265625" bestFit="1" customWidth="1"/>
    <col min="24" max="24" width="9.453125" bestFit="1" customWidth="1"/>
    <col min="25" max="25" width="14.1796875" bestFit="1" customWidth="1"/>
  </cols>
  <sheetData>
    <row r="1" spans="1:13">
      <c r="A1" s="6" t="s">
        <v>251</v>
      </c>
      <c r="B1" s="8" t="s">
        <v>250</v>
      </c>
      <c r="C1" s="6" t="s">
        <v>249</v>
      </c>
      <c r="D1" s="6" t="s">
        <v>248</v>
      </c>
      <c r="E1" s="6" t="s">
        <v>247</v>
      </c>
      <c r="F1" s="6" t="s">
        <v>246</v>
      </c>
      <c r="G1" s="6" t="s">
        <v>245</v>
      </c>
      <c r="H1" s="6" t="s">
        <v>244</v>
      </c>
      <c r="I1" s="6" t="s">
        <v>243</v>
      </c>
      <c r="J1" s="6" t="s">
        <v>242</v>
      </c>
      <c r="K1" s="6" t="s">
        <v>241</v>
      </c>
      <c r="L1" s="7" t="s">
        <v>240</v>
      </c>
      <c r="M1" s="9" t="s">
        <v>239</v>
      </c>
    </row>
    <row r="2" spans="1:13">
      <c r="A2" s="6" t="s">
        <v>238</v>
      </c>
      <c r="B2" s="8">
        <v>44927</v>
      </c>
      <c r="C2" s="6" t="s">
        <v>22</v>
      </c>
      <c r="D2" s="6" t="s">
        <v>5</v>
      </c>
      <c r="E2" s="6" t="s">
        <v>4</v>
      </c>
      <c r="F2" s="6">
        <v>1276</v>
      </c>
      <c r="G2" s="6">
        <v>97</v>
      </c>
      <c r="H2" s="6">
        <v>1179</v>
      </c>
      <c r="I2" s="6" t="s">
        <v>15</v>
      </c>
      <c r="J2" s="6">
        <v>30</v>
      </c>
      <c r="K2" s="6" t="s">
        <v>29</v>
      </c>
      <c r="L2" s="7">
        <v>44927</v>
      </c>
      <c r="M2" s="9" t="s">
        <v>168</v>
      </c>
    </row>
    <row r="3" spans="1:13">
      <c r="A3" s="6" t="s">
        <v>237</v>
      </c>
      <c r="B3" s="8">
        <v>44927.447236180553</v>
      </c>
      <c r="C3" s="6" t="s">
        <v>26</v>
      </c>
      <c r="D3" s="6" t="s">
        <v>7</v>
      </c>
      <c r="E3" s="6" t="s">
        <v>6</v>
      </c>
      <c r="F3" s="6">
        <v>1010</v>
      </c>
      <c r="G3" s="6">
        <v>197</v>
      </c>
      <c r="H3" s="6">
        <v>813</v>
      </c>
      <c r="I3" s="6" t="s">
        <v>15</v>
      </c>
      <c r="J3" s="6">
        <v>40</v>
      </c>
      <c r="K3" s="6" t="s">
        <v>27</v>
      </c>
      <c r="L3" s="7">
        <v>44927</v>
      </c>
      <c r="M3" s="9" t="s">
        <v>168</v>
      </c>
    </row>
    <row r="4" spans="1:13">
      <c r="A4" s="6" t="s">
        <v>236</v>
      </c>
      <c r="B4" s="8">
        <v>44927.894472361113</v>
      </c>
      <c r="C4" s="6" t="s">
        <v>21</v>
      </c>
      <c r="D4" s="6" t="s">
        <v>7</v>
      </c>
      <c r="E4" s="6" t="s">
        <v>6</v>
      </c>
      <c r="F4" s="6">
        <v>1444</v>
      </c>
      <c r="G4" s="6">
        <v>239</v>
      </c>
      <c r="H4" s="6">
        <v>1205</v>
      </c>
      <c r="I4" s="6" t="s">
        <v>16</v>
      </c>
      <c r="J4" s="6">
        <v>40</v>
      </c>
      <c r="K4" s="6" t="s">
        <v>29</v>
      </c>
      <c r="L4" s="7">
        <v>44927</v>
      </c>
      <c r="M4" s="9" t="s">
        <v>168</v>
      </c>
    </row>
    <row r="5" spans="1:13">
      <c r="A5" s="6" t="s">
        <v>235</v>
      </c>
      <c r="B5" s="8">
        <v>44928.341708541666</v>
      </c>
      <c r="C5" s="6" t="s">
        <v>28</v>
      </c>
      <c r="D5" s="6" t="s">
        <v>11</v>
      </c>
      <c r="E5" s="6" t="s">
        <v>12</v>
      </c>
      <c r="F5" s="6">
        <v>1280</v>
      </c>
      <c r="G5" s="6">
        <v>143</v>
      </c>
      <c r="H5" s="6">
        <v>1137</v>
      </c>
      <c r="I5" s="6" t="s">
        <v>19</v>
      </c>
      <c r="J5" s="6">
        <v>62</v>
      </c>
      <c r="K5" s="6" t="s">
        <v>29</v>
      </c>
      <c r="L5" s="7">
        <v>44928</v>
      </c>
      <c r="M5" s="9" t="s">
        <v>168</v>
      </c>
    </row>
    <row r="6" spans="1:13">
      <c r="A6" s="6" t="s">
        <v>234</v>
      </c>
      <c r="B6" s="8">
        <v>44928.788944722219</v>
      </c>
      <c r="C6" s="6" t="s">
        <v>22</v>
      </c>
      <c r="D6" s="6" t="s">
        <v>11</v>
      </c>
      <c r="E6" s="6" t="s">
        <v>2</v>
      </c>
      <c r="F6" s="6">
        <v>1245</v>
      </c>
      <c r="G6" s="6">
        <v>96</v>
      </c>
      <c r="H6" s="6">
        <v>1149</v>
      </c>
      <c r="I6" s="6" t="s">
        <v>15</v>
      </c>
      <c r="J6" s="6">
        <v>35</v>
      </c>
      <c r="K6" s="6" t="s">
        <v>29</v>
      </c>
      <c r="L6" s="7">
        <v>44928</v>
      </c>
      <c r="M6" s="9" t="s">
        <v>168</v>
      </c>
    </row>
    <row r="7" spans="1:13">
      <c r="A7" s="6" t="s">
        <v>233</v>
      </c>
      <c r="B7" s="8">
        <v>44929.236180902779</v>
      </c>
      <c r="C7" s="6" t="s">
        <v>22</v>
      </c>
      <c r="D7" s="6" t="s">
        <v>11</v>
      </c>
      <c r="E7" s="6" t="s">
        <v>6</v>
      </c>
      <c r="F7" s="6">
        <v>1194</v>
      </c>
      <c r="G7" s="6">
        <v>200</v>
      </c>
      <c r="H7" s="6">
        <v>994</v>
      </c>
      <c r="I7" s="6" t="s">
        <v>15</v>
      </c>
      <c r="J7" s="6">
        <v>53</v>
      </c>
      <c r="K7" s="6" t="s">
        <v>29</v>
      </c>
      <c r="L7" s="7">
        <v>44929</v>
      </c>
      <c r="M7" s="9" t="s">
        <v>168</v>
      </c>
    </row>
    <row r="8" spans="1:13">
      <c r="A8" s="6" t="s">
        <v>232</v>
      </c>
      <c r="B8" s="8">
        <v>44929.683417083332</v>
      </c>
      <c r="C8" s="6" t="s">
        <v>23</v>
      </c>
      <c r="D8" s="6" t="s">
        <v>7</v>
      </c>
      <c r="E8" s="6" t="s">
        <v>8</v>
      </c>
      <c r="F8" s="6">
        <v>271</v>
      </c>
      <c r="G8" s="6">
        <v>123</v>
      </c>
      <c r="H8" s="6">
        <v>148</v>
      </c>
      <c r="I8" s="6" t="s">
        <v>16</v>
      </c>
      <c r="J8" s="6">
        <v>50</v>
      </c>
      <c r="K8" s="6" t="s">
        <v>29</v>
      </c>
      <c r="L8" s="7">
        <v>44929</v>
      </c>
      <c r="M8" s="9" t="s">
        <v>168</v>
      </c>
    </row>
    <row r="9" spans="1:13">
      <c r="A9" s="6" t="s">
        <v>231</v>
      </c>
      <c r="B9" s="8">
        <v>44930.130653263892</v>
      </c>
      <c r="C9" s="6" t="s">
        <v>26</v>
      </c>
      <c r="D9" s="6" t="s">
        <v>11</v>
      </c>
      <c r="E9" s="6" t="s">
        <v>4</v>
      </c>
      <c r="F9" s="6">
        <v>616</v>
      </c>
      <c r="G9" s="6">
        <v>186</v>
      </c>
      <c r="H9" s="6">
        <v>430</v>
      </c>
      <c r="I9" s="6" t="s">
        <v>15</v>
      </c>
      <c r="J9" s="6">
        <v>47</v>
      </c>
      <c r="K9" s="6" t="s">
        <v>29</v>
      </c>
      <c r="L9" s="7">
        <v>44930</v>
      </c>
      <c r="M9" s="9" t="s">
        <v>168</v>
      </c>
    </row>
    <row r="10" spans="1:13">
      <c r="A10" s="6" t="s">
        <v>230</v>
      </c>
      <c r="B10" s="8">
        <v>44930.577889444445</v>
      </c>
      <c r="C10" s="6" t="s">
        <v>18</v>
      </c>
      <c r="D10" s="6" t="s">
        <v>5</v>
      </c>
      <c r="E10" s="6" t="s">
        <v>4</v>
      </c>
      <c r="F10" s="6">
        <v>1388</v>
      </c>
      <c r="G10" s="6">
        <v>258</v>
      </c>
      <c r="H10" s="6">
        <v>1130</v>
      </c>
      <c r="I10" s="6" t="s">
        <v>15</v>
      </c>
      <c r="J10" s="6">
        <v>44</v>
      </c>
      <c r="K10" s="6" t="s">
        <v>27</v>
      </c>
      <c r="L10" s="7">
        <v>44930</v>
      </c>
      <c r="M10" s="9" t="s">
        <v>168</v>
      </c>
    </row>
    <row r="11" spans="1:13">
      <c r="A11" s="6" t="s">
        <v>229</v>
      </c>
      <c r="B11" s="8">
        <v>44931.025125624998</v>
      </c>
      <c r="C11" s="6" t="s">
        <v>26</v>
      </c>
      <c r="D11" s="6" t="s">
        <v>7</v>
      </c>
      <c r="E11" s="6" t="s">
        <v>12</v>
      </c>
      <c r="F11" s="6">
        <v>480</v>
      </c>
      <c r="G11" s="6">
        <v>147</v>
      </c>
      <c r="H11" s="6">
        <v>333</v>
      </c>
      <c r="I11" s="6" t="s">
        <v>16</v>
      </c>
      <c r="J11" s="6">
        <v>51</v>
      </c>
      <c r="K11" s="6" t="s">
        <v>27</v>
      </c>
      <c r="L11" s="7">
        <v>44931</v>
      </c>
      <c r="M11" s="9" t="s">
        <v>168</v>
      </c>
    </row>
    <row r="12" spans="1:13">
      <c r="A12" s="6" t="s">
        <v>228</v>
      </c>
      <c r="B12" s="8">
        <v>44931.472361805558</v>
      </c>
      <c r="C12" s="6" t="s">
        <v>28</v>
      </c>
      <c r="D12" s="6" t="s">
        <v>11</v>
      </c>
      <c r="E12" s="6" t="s">
        <v>4</v>
      </c>
      <c r="F12" s="6">
        <v>237</v>
      </c>
      <c r="G12" s="6">
        <v>251</v>
      </c>
      <c r="H12" s="6">
        <v>-14</v>
      </c>
      <c r="I12" s="6" t="s">
        <v>17</v>
      </c>
      <c r="J12" s="6">
        <v>37</v>
      </c>
      <c r="K12" s="6" t="s">
        <v>27</v>
      </c>
      <c r="L12" s="7">
        <v>44931</v>
      </c>
      <c r="M12" s="9" t="s">
        <v>168</v>
      </c>
    </row>
    <row r="13" spans="1:13">
      <c r="A13" s="6" t="s">
        <v>227</v>
      </c>
      <c r="B13" s="8">
        <v>44931.919597986111</v>
      </c>
      <c r="C13" s="6" t="s">
        <v>24</v>
      </c>
      <c r="D13" s="6" t="s">
        <v>5</v>
      </c>
      <c r="E13" s="6" t="s">
        <v>4</v>
      </c>
      <c r="F13" s="6">
        <v>1273</v>
      </c>
      <c r="G13" s="6">
        <v>146</v>
      </c>
      <c r="H13" s="6">
        <v>1127</v>
      </c>
      <c r="I13" s="6" t="s">
        <v>17</v>
      </c>
      <c r="J13" s="6">
        <v>72</v>
      </c>
      <c r="K13" s="6" t="s">
        <v>27</v>
      </c>
      <c r="L13" s="7">
        <v>44931</v>
      </c>
      <c r="M13" s="9" t="s">
        <v>168</v>
      </c>
    </row>
    <row r="14" spans="1:13">
      <c r="A14" s="6" t="s">
        <v>226</v>
      </c>
      <c r="B14" s="8">
        <v>44932.366834166663</v>
      </c>
      <c r="C14" s="6" t="s">
        <v>26</v>
      </c>
      <c r="D14" s="6" t="s">
        <v>11</v>
      </c>
      <c r="E14" s="6" t="s">
        <v>2</v>
      </c>
      <c r="F14" s="6">
        <v>1021</v>
      </c>
      <c r="G14" s="6">
        <v>147</v>
      </c>
      <c r="H14" s="6">
        <v>874</v>
      </c>
      <c r="I14" s="6" t="s">
        <v>15</v>
      </c>
      <c r="J14" s="6">
        <v>24</v>
      </c>
      <c r="K14" s="6" t="s">
        <v>29</v>
      </c>
      <c r="L14" s="7">
        <v>44932</v>
      </c>
      <c r="M14" s="9" t="s">
        <v>168</v>
      </c>
    </row>
    <row r="15" spans="1:13">
      <c r="A15" s="6" t="s">
        <v>225</v>
      </c>
      <c r="B15" s="8">
        <v>44932.814070347224</v>
      </c>
      <c r="C15" s="6" t="s">
        <v>28</v>
      </c>
      <c r="D15" s="6" t="s">
        <v>3</v>
      </c>
      <c r="E15" s="6" t="s">
        <v>10</v>
      </c>
      <c r="F15" s="6">
        <v>280</v>
      </c>
      <c r="G15" s="6">
        <v>198</v>
      </c>
      <c r="H15" s="6">
        <v>82</v>
      </c>
      <c r="I15" s="6" t="s">
        <v>15</v>
      </c>
      <c r="J15" s="6">
        <v>68</v>
      </c>
      <c r="K15" s="6" t="s">
        <v>27</v>
      </c>
      <c r="L15" s="7">
        <v>44932</v>
      </c>
      <c r="M15" s="9" t="s">
        <v>168</v>
      </c>
    </row>
    <row r="16" spans="1:13">
      <c r="A16" s="6" t="s">
        <v>224</v>
      </c>
      <c r="B16" s="8">
        <v>44933.261306527776</v>
      </c>
      <c r="C16" s="6" t="s">
        <v>22</v>
      </c>
      <c r="D16" s="6" t="s">
        <v>11</v>
      </c>
      <c r="E16" s="6" t="s">
        <v>8</v>
      </c>
      <c r="F16" s="6">
        <v>1482</v>
      </c>
      <c r="G16" s="6">
        <v>127</v>
      </c>
      <c r="H16" s="6">
        <v>1355</v>
      </c>
      <c r="I16" s="6" t="s">
        <v>19</v>
      </c>
      <c r="J16" s="6">
        <v>19</v>
      </c>
      <c r="K16" s="6" t="s">
        <v>27</v>
      </c>
      <c r="L16" s="7">
        <v>44933</v>
      </c>
      <c r="M16" s="9" t="s">
        <v>168</v>
      </c>
    </row>
    <row r="17" spans="1:13">
      <c r="A17" s="6" t="s">
        <v>223</v>
      </c>
      <c r="B17" s="8">
        <v>44933.708542708337</v>
      </c>
      <c r="C17" s="6" t="s">
        <v>24</v>
      </c>
      <c r="D17" s="6" t="s">
        <v>3</v>
      </c>
      <c r="E17" s="6" t="s">
        <v>2</v>
      </c>
      <c r="F17" s="6">
        <v>919</v>
      </c>
      <c r="G17" s="6">
        <v>38</v>
      </c>
      <c r="H17" s="6">
        <v>881</v>
      </c>
      <c r="I17" s="6" t="s">
        <v>15</v>
      </c>
      <c r="J17" s="6">
        <v>50</v>
      </c>
      <c r="K17" s="6" t="s">
        <v>27</v>
      </c>
      <c r="L17" s="7">
        <v>44933</v>
      </c>
      <c r="M17" s="9" t="s">
        <v>168</v>
      </c>
    </row>
    <row r="18" spans="1:13">
      <c r="A18" s="6" t="s">
        <v>222</v>
      </c>
      <c r="B18" s="8">
        <v>44934.155778888889</v>
      </c>
      <c r="C18" s="6" t="s">
        <v>28</v>
      </c>
      <c r="D18" s="6" t="s">
        <v>11</v>
      </c>
      <c r="E18" s="6" t="s">
        <v>10</v>
      </c>
      <c r="F18" s="6">
        <v>493</v>
      </c>
      <c r="G18" s="6">
        <v>128</v>
      </c>
      <c r="H18" s="6">
        <v>365</v>
      </c>
      <c r="I18" s="6" t="s">
        <v>19</v>
      </c>
      <c r="J18" s="6">
        <v>48</v>
      </c>
      <c r="K18" s="6" t="s">
        <v>27</v>
      </c>
      <c r="L18" s="7">
        <v>44934</v>
      </c>
      <c r="M18" s="9" t="s">
        <v>168</v>
      </c>
    </row>
    <row r="19" spans="1:13">
      <c r="A19" s="6" t="s">
        <v>221</v>
      </c>
      <c r="B19" s="8">
        <v>44934.603015081018</v>
      </c>
      <c r="C19" s="6" t="s">
        <v>24</v>
      </c>
      <c r="D19" s="6" t="s">
        <v>1</v>
      </c>
      <c r="E19" s="6" t="s">
        <v>4</v>
      </c>
      <c r="F19" s="6">
        <v>955</v>
      </c>
      <c r="G19" s="6">
        <v>266</v>
      </c>
      <c r="H19" s="6">
        <v>689</v>
      </c>
      <c r="I19" s="6" t="s">
        <v>17</v>
      </c>
      <c r="J19" s="6">
        <v>66</v>
      </c>
      <c r="K19" s="6" t="s">
        <v>27</v>
      </c>
      <c r="L19" s="7">
        <v>44934</v>
      </c>
      <c r="M19" s="9" t="s">
        <v>168</v>
      </c>
    </row>
    <row r="20" spans="1:13">
      <c r="A20" s="6" t="s">
        <v>220</v>
      </c>
      <c r="B20" s="8">
        <v>44935.050251261571</v>
      </c>
      <c r="C20" s="6" t="s">
        <v>20</v>
      </c>
      <c r="D20" s="6" t="s">
        <v>1</v>
      </c>
      <c r="E20" s="6" t="s">
        <v>12</v>
      </c>
      <c r="F20" s="6">
        <v>535</v>
      </c>
      <c r="G20" s="6">
        <v>150</v>
      </c>
      <c r="H20" s="6">
        <v>385</v>
      </c>
      <c r="I20" s="6" t="s">
        <v>15</v>
      </c>
      <c r="J20" s="6">
        <v>45</v>
      </c>
      <c r="K20" s="6" t="s">
        <v>27</v>
      </c>
      <c r="L20" s="7">
        <v>44935</v>
      </c>
      <c r="M20" s="9" t="s">
        <v>168</v>
      </c>
    </row>
    <row r="21" spans="1:13">
      <c r="A21" s="6" t="s">
        <v>219</v>
      </c>
      <c r="B21" s="8">
        <v>44935.497487442131</v>
      </c>
      <c r="C21" s="6" t="s">
        <v>26</v>
      </c>
      <c r="D21" s="6" t="s">
        <v>9</v>
      </c>
      <c r="E21" s="6" t="s">
        <v>12</v>
      </c>
      <c r="F21" s="6">
        <v>1365</v>
      </c>
      <c r="G21" s="6">
        <v>297</v>
      </c>
      <c r="H21" s="6">
        <v>1068</v>
      </c>
      <c r="I21" s="6" t="s">
        <v>15</v>
      </c>
      <c r="J21" s="6">
        <v>24</v>
      </c>
      <c r="K21" s="6" t="s">
        <v>27</v>
      </c>
      <c r="L21" s="7">
        <v>44935</v>
      </c>
      <c r="M21" s="9" t="s">
        <v>168</v>
      </c>
    </row>
    <row r="22" spans="1:13">
      <c r="A22" s="6" t="s">
        <v>218</v>
      </c>
      <c r="B22" s="8">
        <v>44935.944723622684</v>
      </c>
      <c r="C22" s="6" t="s">
        <v>20</v>
      </c>
      <c r="D22" s="6" t="s">
        <v>1</v>
      </c>
      <c r="E22" s="6" t="s">
        <v>4</v>
      </c>
      <c r="F22" s="6">
        <v>1105</v>
      </c>
      <c r="G22" s="6">
        <v>98</v>
      </c>
      <c r="H22" s="6">
        <v>1007</v>
      </c>
      <c r="I22" s="6" t="s">
        <v>16</v>
      </c>
      <c r="J22" s="6">
        <v>72</v>
      </c>
      <c r="K22" s="6" t="s">
        <v>29</v>
      </c>
      <c r="L22" s="7">
        <v>44935</v>
      </c>
      <c r="M22" s="9" t="s">
        <v>168</v>
      </c>
    </row>
    <row r="23" spans="1:13">
      <c r="A23" s="6" t="s">
        <v>217</v>
      </c>
      <c r="B23" s="8">
        <v>44936.391959803237</v>
      </c>
      <c r="C23" s="6" t="s">
        <v>22</v>
      </c>
      <c r="D23" s="6" t="s">
        <v>1</v>
      </c>
      <c r="E23" s="6" t="s">
        <v>6</v>
      </c>
      <c r="F23" s="6">
        <v>426</v>
      </c>
      <c r="G23" s="6">
        <v>262</v>
      </c>
      <c r="H23" s="6">
        <v>164</v>
      </c>
      <c r="I23" s="6" t="s">
        <v>15</v>
      </c>
      <c r="J23" s="6">
        <v>33</v>
      </c>
      <c r="K23" s="6" t="s">
        <v>29</v>
      </c>
      <c r="L23" s="7">
        <v>44936</v>
      </c>
      <c r="M23" s="9" t="s">
        <v>168</v>
      </c>
    </row>
    <row r="24" spans="1:13">
      <c r="A24" s="6" t="s">
        <v>216</v>
      </c>
      <c r="B24" s="8">
        <v>44936.839195983797</v>
      </c>
      <c r="C24" s="6" t="s">
        <v>21</v>
      </c>
      <c r="D24" s="6" t="s">
        <v>11</v>
      </c>
      <c r="E24" s="6" t="s">
        <v>10</v>
      </c>
      <c r="F24" s="6">
        <v>1334</v>
      </c>
      <c r="G24" s="6">
        <v>251</v>
      </c>
      <c r="H24" s="6">
        <v>1083</v>
      </c>
      <c r="I24" s="6" t="s">
        <v>17</v>
      </c>
      <c r="J24" s="6">
        <v>72</v>
      </c>
      <c r="K24" s="6" t="s">
        <v>29</v>
      </c>
      <c r="L24" s="7">
        <v>44936</v>
      </c>
      <c r="M24" s="9" t="s">
        <v>168</v>
      </c>
    </row>
    <row r="25" spans="1:13">
      <c r="A25" s="6" t="s">
        <v>215</v>
      </c>
      <c r="B25" s="8">
        <v>44937.28643216435</v>
      </c>
      <c r="C25" s="6" t="s">
        <v>28</v>
      </c>
      <c r="D25" s="6" t="s">
        <v>7</v>
      </c>
      <c r="E25" s="6" t="s">
        <v>4</v>
      </c>
      <c r="F25" s="6">
        <v>609</v>
      </c>
      <c r="G25" s="6">
        <v>143</v>
      </c>
      <c r="H25" s="6">
        <v>466</v>
      </c>
      <c r="I25" s="6" t="s">
        <v>15</v>
      </c>
      <c r="J25" s="6">
        <v>46</v>
      </c>
      <c r="K25" s="6" t="s">
        <v>29</v>
      </c>
      <c r="L25" s="7">
        <v>44937</v>
      </c>
      <c r="M25" s="9" t="s">
        <v>168</v>
      </c>
    </row>
    <row r="26" spans="1:13">
      <c r="A26" s="6" t="s">
        <v>214</v>
      </c>
      <c r="B26" s="8">
        <v>44937.73366834491</v>
      </c>
      <c r="C26" s="6" t="s">
        <v>23</v>
      </c>
      <c r="D26" s="6" t="s">
        <v>7</v>
      </c>
      <c r="E26" s="6" t="s">
        <v>12</v>
      </c>
      <c r="F26" s="6">
        <v>1487</v>
      </c>
      <c r="G26" s="6">
        <v>111</v>
      </c>
      <c r="H26" s="6">
        <v>1376</v>
      </c>
      <c r="I26" s="6" t="s">
        <v>19</v>
      </c>
      <c r="J26" s="6">
        <v>15</v>
      </c>
      <c r="K26" s="6" t="s">
        <v>27</v>
      </c>
      <c r="L26" s="7">
        <v>44937</v>
      </c>
      <c r="M26" s="9" t="s">
        <v>168</v>
      </c>
    </row>
    <row r="27" spans="1:13">
      <c r="A27" s="6" t="s">
        <v>213</v>
      </c>
      <c r="B27" s="8">
        <v>44938.180904525463</v>
      </c>
      <c r="C27" s="6" t="s">
        <v>21</v>
      </c>
      <c r="D27" s="6" t="s">
        <v>3</v>
      </c>
      <c r="E27" s="6" t="s">
        <v>12</v>
      </c>
      <c r="F27" s="6">
        <v>171</v>
      </c>
      <c r="G27" s="6">
        <v>59</v>
      </c>
      <c r="H27" s="6">
        <v>112</v>
      </c>
      <c r="I27" s="6" t="s">
        <v>15</v>
      </c>
      <c r="J27" s="6">
        <v>70</v>
      </c>
      <c r="K27" s="6" t="s">
        <v>27</v>
      </c>
      <c r="L27" s="7">
        <v>44938</v>
      </c>
      <c r="M27" s="9" t="s">
        <v>168</v>
      </c>
    </row>
    <row r="28" spans="1:13">
      <c r="A28" s="6" t="s">
        <v>212</v>
      </c>
      <c r="B28" s="8">
        <v>44938.628140706016</v>
      </c>
      <c r="C28" s="6" t="s">
        <v>26</v>
      </c>
      <c r="D28" s="6" t="s">
        <v>7</v>
      </c>
      <c r="E28" s="6" t="s">
        <v>10</v>
      </c>
      <c r="F28" s="6">
        <v>402</v>
      </c>
      <c r="G28" s="6">
        <v>1</v>
      </c>
      <c r="H28" s="6">
        <v>401</v>
      </c>
      <c r="I28" s="6" t="s">
        <v>19</v>
      </c>
      <c r="J28" s="6">
        <v>19</v>
      </c>
      <c r="K28" s="6" t="s">
        <v>29</v>
      </c>
      <c r="L28" s="7">
        <v>44938</v>
      </c>
      <c r="M28" s="9" t="s">
        <v>168</v>
      </c>
    </row>
    <row r="29" spans="1:13">
      <c r="A29" s="6" t="s">
        <v>211</v>
      </c>
      <c r="B29" s="8">
        <v>44939.075376886576</v>
      </c>
      <c r="C29" s="6" t="s">
        <v>26</v>
      </c>
      <c r="D29" s="6" t="s">
        <v>5</v>
      </c>
      <c r="E29" s="6" t="s">
        <v>8</v>
      </c>
      <c r="F29" s="6">
        <v>897</v>
      </c>
      <c r="G29" s="6">
        <v>253</v>
      </c>
      <c r="H29" s="6">
        <v>644</v>
      </c>
      <c r="I29" s="6" t="s">
        <v>16</v>
      </c>
      <c r="J29" s="6">
        <v>59</v>
      </c>
      <c r="K29" s="6" t="s">
        <v>29</v>
      </c>
      <c r="L29" s="7">
        <v>44939</v>
      </c>
      <c r="M29" s="9" t="s">
        <v>168</v>
      </c>
    </row>
    <row r="30" spans="1:13">
      <c r="A30" s="6" t="s">
        <v>210</v>
      </c>
      <c r="B30" s="8">
        <v>44939.522613067129</v>
      </c>
      <c r="C30" s="6" t="s">
        <v>20</v>
      </c>
      <c r="D30" s="6" t="s">
        <v>9</v>
      </c>
      <c r="E30" s="6" t="s">
        <v>4</v>
      </c>
      <c r="F30" s="6">
        <v>1006</v>
      </c>
      <c r="G30" s="6">
        <v>139</v>
      </c>
      <c r="H30" s="6">
        <v>867</v>
      </c>
      <c r="I30" s="6" t="s">
        <v>15</v>
      </c>
      <c r="J30" s="6">
        <v>18</v>
      </c>
      <c r="K30" s="6" t="s">
        <v>29</v>
      </c>
      <c r="L30" s="7">
        <v>44939</v>
      </c>
      <c r="M30" s="9" t="s">
        <v>168</v>
      </c>
    </row>
    <row r="31" spans="1:13">
      <c r="A31" s="6" t="s">
        <v>209</v>
      </c>
      <c r="B31" s="8">
        <v>44939.969849247682</v>
      </c>
      <c r="C31" s="6" t="s">
        <v>24</v>
      </c>
      <c r="D31" s="6" t="s">
        <v>1</v>
      </c>
      <c r="E31" s="6" t="s">
        <v>2</v>
      </c>
      <c r="F31" s="6">
        <v>624</v>
      </c>
      <c r="G31" s="6">
        <v>36</v>
      </c>
      <c r="H31" s="6">
        <v>588</v>
      </c>
      <c r="I31" s="6" t="s">
        <v>16</v>
      </c>
      <c r="J31" s="6">
        <v>30</v>
      </c>
      <c r="K31" s="6" t="s">
        <v>27</v>
      </c>
      <c r="L31" s="7">
        <v>44939</v>
      </c>
      <c r="M31" s="9" t="s">
        <v>168</v>
      </c>
    </row>
    <row r="32" spans="1:13">
      <c r="A32" s="6" t="s">
        <v>208</v>
      </c>
      <c r="B32" s="8">
        <v>44940.417085428242</v>
      </c>
      <c r="C32" s="6" t="s">
        <v>20</v>
      </c>
      <c r="D32" s="6" t="s">
        <v>9</v>
      </c>
      <c r="E32" s="6" t="s">
        <v>4</v>
      </c>
      <c r="F32" s="6">
        <v>1232</v>
      </c>
      <c r="G32" s="6">
        <v>159</v>
      </c>
      <c r="H32" s="6">
        <v>1073</v>
      </c>
      <c r="I32" s="6" t="s">
        <v>16</v>
      </c>
      <c r="J32" s="6">
        <v>38</v>
      </c>
      <c r="K32" s="6" t="s">
        <v>27</v>
      </c>
      <c r="L32" s="7">
        <v>44940</v>
      </c>
      <c r="M32" s="9" t="s">
        <v>168</v>
      </c>
    </row>
    <row r="33" spans="1:13">
      <c r="A33" s="6" t="s">
        <v>207</v>
      </c>
      <c r="B33" s="8">
        <v>44940.864321608795</v>
      </c>
      <c r="C33" s="6" t="s">
        <v>22</v>
      </c>
      <c r="D33" s="6" t="s">
        <v>5</v>
      </c>
      <c r="E33" s="6" t="s">
        <v>8</v>
      </c>
      <c r="F33" s="6">
        <v>660</v>
      </c>
      <c r="G33" s="6">
        <v>8</v>
      </c>
      <c r="H33" s="6">
        <v>652</v>
      </c>
      <c r="I33" s="6" t="s">
        <v>15</v>
      </c>
      <c r="J33" s="6">
        <v>30</v>
      </c>
      <c r="K33" s="6" t="s">
        <v>29</v>
      </c>
      <c r="L33" s="7">
        <v>44940</v>
      </c>
      <c r="M33" s="9" t="s">
        <v>168</v>
      </c>
    </row>
    <row r="34" spans="1:13">
      <c r="A34" s="6" t="s">
        <v>206</v>
      </c>
      <c r="B34" s="8">
        <v>44941.311557789355</v>
      </c>
      <c r="C34" s="6" t="s">
        <v>24</v>
      </c>
      <c r="D34" s="6" t="s">
        <v>1</v>
      </c>
      <c r="E34" s="6" t="s">
        <v>10</v>
      </c>
      <c r="F34" s="6">
        <v>849</v>
      </c>
      <c r="G34" s="6">
        <v>232</v>
      </c>
      <c r="H34" s="6">
        <v>617</v>
      </c>
      <c r="I34" s="6" t="s">
        <v>19</v>
      </c>
      <c r="J34" s="6">
        <v>69</v>
      </c>
      <c r="K34" s="6" t="s">
        <v>27</v>
      </c>
      <c r="L34" s="7">
        <v>44941</v>
      </c>
      <c r="M34" s="9" t="s">
        <v>168</v>
      </c>
    </row>
    <row r="35" spans="1:13">
      <c r="A35" s="6" t="s">
        <v>205</v>
      </c>
      <c r="B35" s="8">
        <v>44941.758793969908</v>
      </c>
      <c r="C35" s="6" t="s">
        <v>23</v>
      </c>
      <c r="D35" s="6" t="s">
        <v>3</v>
      </c>
      <c r="E35" s="6" t="s">
        <v>10</v>
      </c>
      <c r="F35" s="6">
        <v>1125</v>
      </c>
      <c r="G35" s="6">
        <v>98</v>
      </c>
      <c r="H35" s="6">
        <v>1027</v>
      </c>
      <c r="I35" s="6" t="s">
        <v>15</v>
      </c>
      <c r="J35" s="6">
        <v>16</v>
      </c>
      <c r="K35" s="6" t="s">
        <v>29</v>
      </c>
      <c r="L35" s="7">
        <v>44941</v>
      </c>
      <c r="M35" s="9" t="s">
        <v>168</v>
      </c>
    </row>
    <row r="36" spans="1:13">
      <c r="A36" s="6" t="s">
        <v>204</v>
      </c>
      <c r="B36" s="8">
        <v>44942.206030150461</v>
      </c>
      <c r="C36" s="6" t="s">
        <v>18</v>
      </c>
      <c r="D36" s="6" t="s">
        <v>5</v>
      </c>
      <c r="E36" s="6" t="s">
        <v>12</v>
      </c>
      <c r="F36" s="6">
        <v>339</v>
      </c>
      <c r="G36" s="6">
        <v>146</v>
      </c>
      <c r="H36" s="6">
        <v>193</v>
      </c>
      <c r="I36" s="6" t="s">
        <v>19</v>
      </c>
      <c r="J36" s="6">
        <v>63</v>
      </c>
      <c r="K36" s="6" t="s">
        <v>27</v>
      </c>
      <c r="L36" s="7">
        <v>44942</v>
      </c>
      <c r="M36" s="9" t="s">
        <v>168</v>
      </c>
    </row>
    <row r="37" spans="1:13">
      <c r="A37" s="6" t="s">
        <v>203</v>
      </c>
      <c r="B37" s="8">
        <v>44942.653266331021</v>
      </c>
      <c r="C37" s="6" t="s">
        <v>24</v>
      </c>
      <c r="D37" s="6" t="s">
        <v>5</v>
      </c>
      <c r="E37" s="6" t="s">
        <v>8</v>
      </c>
      <c r="F37" s="6">
        <v>1107</v>
      </c>
      <c r="G37" s="6">
        <v>207</v>
      </c>
      <c r="H37" s="6">
        <v>900</v>
      </c>
      <c r="I37" s="6" t="s">
        <v>16</v>
      </c>
      <c r="J37" s="6">
        <v>42</v>
      </c>
      <c r="K37" s="6" t="s">
        <v>27</v>
      </c>
      <c r="L37" s="7">
        <v>44942</v>
      </c>
      <c r="M37" s="9" t="s">
        <v>168</v>
      </c>
    </row>
    <row r="38" spans="1:13">
      <c r="A38" s="6" t="s">
        <v>202</v>
      </c>
      <c r="B38" s="8">
        <v>44943.100502511574</v>
      </c>
      <c r="C38" s="6" t="s">
        <v>20</v>
      </c>
      <c r="D38" s="6" t="s">
        <v>9</v>
      </c>
      <c r="E38" s="6" t="s">
        <v>10</v>
      </c>
      <c r="F38" s="6">
        <v>836</v>
      </c>
      <c r="G38" s="6">
        <v>130</v>
      </c>
      <c r="H38" s="6">
        <v>706</v>
      </c>
      <c r="I38" s="6" t="s">
        <v>17</v>
      </c>
      <c r="J38" s="6">
        <v>46</v>
      </c>
      <c r="K38" s="6" t="s">
        <v>27</v>
      </c>
      <c r="L38" s="7">
        <v>44943</v>
      </c>
      <c r="M38" s="9" t="s">
        <v>168</v>
      </c>
    </row>
    <row r="39" spans="1:13">
      <c r="A39" s="6" t="s">
        <v>201</v>
      </c>
      <c r="B39" s="8">
        <v>44943.547738692127</v>
      </c>
      <c r="C39" s="6" t="s">
        <v>24</v>
      </c>
      <c r="D39" s="6" t="s">
        <v>11</v>
      </c>
      <c r="E39" s="6" t="s">
        <v>6</v>
      </c>
      <c r="F39" s="6">
        <v>1107</v>
      </c>
      <c r="G39" s="6">
        <v>151</v>
      </c>
      <c r="H39" s="6">
        <v>956</v>
      </c>
      <c r="I39" s="6" t="s">
        <v>15</v>
      </c>
      <c r="J39" s="6">
        <v>41</v>
      </c>
      <c r="K39" s="6" t="s">
        <v>29</v>
      </c>
      <c r="L39" s="7">
        <v>44943</v>
      </c>
      <c r="M39" s="9" t="s">
        <v>168</v>
      </c>
    </row>
    <row r="40" spans="1:13">
      <c r="A40" s="6" t="s">
        <v>200</v>
      </c>
      <c r="B40" s="8">
        <v>44943.994974872687</v>
      </c>
      <c r="C40" s="6" t="s">
        <v>20</v>
      </c>
      <c r="D40" s="6" t="s">
        <v>9</v>
      </c>
      <c r="E40" s="6" t="s">
        <v>4</v>
      </c>
      <c r="F40" s="6">
        <v>712</v>
      </c>
      <c r="G40" s="6">
        <v>53</v>
      </c>
      <c r="H40" s="6">
        <v>659</v>
      </c>
      <c r="I40" s="6" t="s">
        <v>17</v>
      </c>
      <c r="J40" s="6">
        <v>34</v>
      </c>
      <c r="K40" s="6" t="s">
        <v>27</v>
      </c>
      <c r="L40" s="7">
        <v>44943</v>
      </c>
      <c r="M40" s="9" t="s">
        <v>168</v>
      </c>
    </row>
    <row r="41" spans="1:13">
      <c r="A41" s="6" t="s">
        <v>199</v>
      </c>
      <c r="B41" s="8">
        <v>44944.44221105324</v>
      </c>
      <c r="C41" s="6" t="s">
        <v>24</v>
      </c>
      <c r="D41" s="6" t="s">
        <v>9</v>
      </c>
      <c r="E41" s="6" t="s">
        <v>12</v>
      </c>
      <c r="F41" s="6">
        <v>1417</v>
      </c>
      <c r="G41" s="6">
        <v>119</v>
      </c>
      <c r="H41" s="6">
        <v>1298</v>
      </c>
      <c r="I41" s="6" t="s">
        <v>19</v>
      </c>
      <c r="J41" s="6">
        <v>38</v>
      </c>
      <c r="K41" s="6" t="s">
        <v>27</v>
      </c>
      <c r="L41" s="7">
        <v>44944</v>
      </c>
      <c r="M41" s="9" t="s">
        <v>168</v>
      </c>
    </row>
    <row r="42" spans="1:13">
      <c r="A42" s="6" t="s">
        <v>198</v>
      </c>
      <c r="B42" s="8">
        <v>44944.8894472338</v>
      </c>
      <c r="C42" s="6" t="s">
        <v>22</v>
      </c>
      <c r="D42" s="6" t="s">
        <v>7</v>
      </c>
      <c r="E42" s="6" t="s">
        <v>2</v>
      </c>
      <c r="F42" s="6">
        <v>981</v>
      </c>
      <c r="G42" s="6">
        <v>160</v>
      </c>
      <c r="H42" s="6">
        <v>821</v>
      </c>
      <c r="I42" s="6" t="s">
        <v>15</v>
      </c>
      <c r="J42" s="6">
        <v>26</v>
      </c>
      <c r="K42" s="6" t="s">
        <v>27</v>
      </c>
      <c r="L42" s="7">
        <v>44944</v>
      </c>
      <c r="M42" s="9" t="s">
        <v>168</v>
      </c>
    </row>
    <row r="43" spans="1:13">
      <c r="A43" s="6" t="s">
        <v>197</v>
      </c>
      <c r="B43" s="8">
        <v>44945.336683414353</v>
      </c>
      <c r="C43" s="6" t="s">
        <v>26</v>
      </c>
      <c r="D43" s="6" t="s">
        <v>5</v>
      </c>
      <c r="E43" s="6" t="s">
        <v>8</v>
      </c>
      <c r="F43" s="6">
        <v>1304</v>
      </c>
      <c r="G43" s="6">
        <v>115</v>
      </c>
      <c r="H43" s="6">
        <v>1189</v>
      </c>
      <c r="I43" s="6" t="s">
        <v>17</v>
      </c>
      <c r="J43" s="6">
        <v>64</v>
      </c>
      <c r="K43" s="6" t="s">
        <v>27</v>
      </c>
      <c r="L43" s="7">
        <v>44945</v>
      </c>
      <c r="M43" s="9" t="s">
        <v>168</v>
      </c>
    </row>
    <row r="44" spans="1:13">
      <c r="A44" s="6" t="s">
        <v>196</v>
      </c>
      <c r="B44" s="8">
        <v>44945.783919594905</v>
      </c>
      <c r="C44" s="6" t="s">
        <v>28</v>
      </c>
      <c r="D44" s="6" t="s">
        <v>9</v>
      </c>
      <c r="E44" s="6" t="s">
        <v>12</v>
      </c>
      <c r="F44" s="6">
        <v>796</v>
      </c>
      <c r="G44" s="6">
        <v>74</v>
      </c>
      <c r="H44" s="6">
        <v>722</v>
      </c>
      <c r="I44" s="6" t="s">
        <v>17</v>
      </c>
      <c r="J44" s="6">
        <v>49</v>
      </c>
      <c r="K44" s="6" t="s">
        <v>29</v>
      </c>
      <c r="L44" s="7">
        <v>44945</v>
      </c>
      <c r="M44" s="9" t="s">
        <v>168</v>
      </c>
    </row>
    <row r="45" spans="1:13">
      <c r="A45" s="6" t="s">
        <v>195</v>
      </c>
      <c r="B45" s="8">
        <v>44946.231155775466</v>
      </c>
      <c r="C45" s="6" t="s">
        <v>21</v>
      </c>
      <c r="D45" s="6" t="s">
        <v>5</v>
      </c>
      <c r="E45" s="6" t="s">
        <v>10</v>
      </c>
      <c r="F45" s="6">
        <v>170</v>
      </c>
      <c r="G45" s="6">
        <v>112</v>
      </c>
      <c r="H45" s="6">
        <v>58</v>
      </c>
      <c r="I45" s="6" t="s">
        <v>15</v>
      </c>
      <c r="J45" s="6">
        <v>74</v>
      </c>
      <c r="K45" s="6" t="s">
        <v>29</v>
      </c>
      <c r="L45" s="7">
        <v>44946</v>
      </c>
      <c r="M45" s="9" t="s">
        <v>168</v>
      </c>
    </row>
    <row r="46" spans="1:13">
      <c r="A46" s="6" t="s">
        <v>194</v>
      </c>
      <c r="B46" s="8">
        <v>44946.678391956018</v>
      </c>
      <c r="C46" s="6" t="s">
        <v>26</v>
      </c>
      <c r="D46" s="6" t="s">
        <v>7</v>
      </c>
      <c r="E46" s="6" t="s">
        <v>10</v>
      </c>
      <c r="F46" s="6">
        <v>990</v>
      </c>
      <c r="G46" s="6">
        <v>103</v>
      </c>
      <c r="H46" s="6">
        <v>887</v>
      </c>
      <c r="I46" s="6" t="s">
        <v>17</v>
      </c>
      <c r="J46" s="6">
        <v>47</v>
      </c>
      <c r="K46" s="6" t="s">
        <v>29</v>
      </c>
      <c r="L46" s="7">
        <v>44946</v>
      </c>
      <c r="M46" s="9" t="s">
        <v>168</v>
      </c>
    </row>
    <row r="47" spans="1:13">
      <c r="A47" s="6" t="s">
        <v>193</v>
      </c>
      <c r="B47" s="8">
        <v>44947.125628136571</v>
      </c>
      <c r="C47" s="6" t="s">
        <v>28</v>
      </c>
      <c r="D47" s="6" t="s">
        <v>5</v>
      </c>
      <c r="E47" s="6" t="s">
        <v>2</v>
      </c>
      <c r="F47" s="6">
        <v>316</v>
      </c>
      <c r="G47" s="6">
        <v>253</v>
      </c>
      <c r="H47" s="6">
        <v>63</v>
      </c>
      <c r="I47" s="6" t="s">
        <v>15</v>
      </c>
      <c r="J47" s="6">
        <v>47</v>
      </c>
      <c r="K47" s="6" t="s">
        <v>27</v>
      </c>
      <c r="L47" s="7">
        <v>44947</v>
      </c>
      <c r="M47" s="9" t="s">
        <v>168</v>
      </c>
    </row>
    <row r="48" spans="1:13">
      <c r="A48" s="6" t="s">
        <v>192</v>
      </c>
      <c r="B48" s="8">
        <v>44947.572864317131</v>
      </c>
      <c r="C48" s="6" t="s">
        <v>26</v>
      </c>
      <c r="D48" s="6" t="s">
        <v>9</v>
      </c>
      <c r="E48" s="6" t="s">
        <v>2</v>
      </c>
      <c r="F48" s="6">
        <v>1447</v>
      </c>
      <c r="G48" s="6">
        <v>226</v>
      </c>
      <c r="H48" s="6">
        <v>1221</v>
      </c>
      <c r="I48" s="6" t="s">
        <v>17</v>
      </c>
      <c r="J48" s="6">
        <v>65</v>
      </c>
      <c r="K48" s="6" t="s">
        <v>29</v>
      </c>
      <c r="L48" s="7">
        <v>44947</v>
      </c>
      <c r="M48" s="9" t="s">
        <v>168</v>
      </c>
    </row>
    <row r="49" spans="1:13">
      <c r="A49" s="6" t="s">
        <v>191</v>
      </c>
      <c r="B49" s="8">
        <v>44948.020100497684</v>
      </c>
      <c r="C49" s="6" t="s">
        <v>21</v>
      </c>
      <c r="D49" s="6" t="s">
        <v>5</v>
      </c>
      <c r="E49" s="6" t="s">
        <v>2</v>
      </c>
      <c r="F49" s="6">
        <v>537</v>
      </c>
      <c r="G49" s="6">
        <v>111</v>
      </c>
      <c r="H49" s="6">
        <v>426</v>
      </c>
      <c r="I49" s="6" t="s">
        <v>16</v>
      </c>
      <c r="J49" s="6">
        <v>57</v>
      </c>
      <c r="K49" s="6" t="s">
        <v>29</v>
      </c>
      <c r="L49" s="7">
        <v>44948</v>
      </c>
      <c r="M49" s="9" t="s">
        <v>168</v>
      </c>
    </row>
    <row r="50" spans="1:13">
      <c r="A50" s="6" t="s">
        <v>190</v>
      </c>
      <c r="B50" s="8">
        <v>44948.467336678237</v>
      </c>
      <c r="C50" s="6" t="s">
        <v>22</v>
      </c>
      <c r="D50" s="6" t="s">
        <v>1</v>
      </c>
      <c r="E50" s="6" t="s">
        <v>2</v>
      </c>
      <c r="F50" s="6">
        <v>750</v>
      </c>
      <c r="G50" s="6">
        <v>98</v>
      </c>
      <c r="H50" s="6">
        <v>652</v>
      </c>
      <c r="I50" s="6" t="s">
        <v>15</v>
      </c>
      <c r="J50" s="6">
        <v>51</v>
      </c>
      <c r="K50" s="6" t="s">
        <v>29</v>
      </c>
      <c r="L50" s="7">
        <v>44948</v>
      </c>
      <c r="M50" s="9" t="s">
        <v>168</v>
      </c>
    </row>
    <row r="51" spans="1:13">
      <c r="A51" s="6" t="s">
        <v>189</v>
      </c>
      <c r="B51" s="8">
        <v>44948.914572858797</v>
      </c>
      <c r="C51" s="6" t="s">
        <v>21</v>
      </c>
      <c r="D51" s="6" t="s">
        <v>7</v>
      </c>
      <c r="E51" s="6" t="s">
        <v>2</v>
      </c>
      <c r="F51" s="6">
        <v>465</v>
      </c>
      <c r="G51" s="6">
        <v>152</v>
      </c>
      <c r="H51" s="6">
        <v>313</v>
      </c>
      <c r="I51" s="6" t="s">
        <v>16</v>
      </c>
      <c r="J51" s="6">
        <v>26</v>
      </c>
      <c r="K51" s="6" t="s">
        <v>29</v>
      </c>
      <c r="L51" s="7">
        <v>44948</v>
      </c>
      <c r="M51" s="9" t="s">
        <v>168</v>
      </c>
    </row>
    <row r="52" spans="1:13">
      <c r="A52" s="6" t="s">
        <v>188</v>
      </c>
      <c r="B52" s="8">
        <v>44949.361809050926</v>
      </c>
      <c r="C52" s="6" t="s">
        <v>21</v>
      </c>
      <c r="D52" s="6" t="s">
        <v>11</v>
      </c>
      <c r="E52" s="6" t="s">
        <v>6</v>
      </c>
      <c r="F52" s="6">
        <v>163</v>
      </c>
      <c r="G52" s="6">
        <v>193</v>
      </c>
      <c r="H52" s="6">
        <v>-30</v>
      </c>
      <c r="I52" s="6" t="s">
        <v>16</v>
      </c>
      <c r="J52" s="6">
        <v>17</v>
      </c>
      <c r="K52" s="6" t="s">
        <v>29</v>
      </c>
      <c r="L52" s="7">
        <v>44949</v>
      </c>
      <c r="M52" s="9" t="s">
        <v>168</v>
      </c>
    </row>
    <row r="53" spans="1:13">
      <c r="A53" s="6" t="s">
        <v>187</v>
      </c>
      <c r="B53" s="8">
        <v>44949.809045231479</v>
      </c>
      <c r="C53" s="6" t="s">
        <v>28</v>
      </c>
      <c r="D53" s="6" t="s">
        <v>5</v>
      </c>
      <c r="E53" s="6" t="s">
        <v>4</v>
      </c>
      <c r="F53" s="6">
        <v>391</v>
      </c>
      <c r="G53" s="6">
        <v>162</v>
      </c>
      <c r="H53" s="6">
        <v>229</v>
      </c>
      <c r="I53" s="6" t="s">
        <v>17</v>
      </c>
      <c r="J53" s="6">
        <v>15</v>
      </c>
      <c r="K53" s="6" t="s">
        <v>29</v>
      </c>
      <c r="L53" s="7">
        <v>44949</v>
      </c>
      <c r="M53" s="9" t="s">
        <v>168</v>
      </c>
    </row>
    <row r="54" spans="1:13">
      <c r="A54" s="6" t="s">
        <v>186</v>
      </c>
      <c r="B54" s="8">
        <v>44950.256281412039</v>
      </c>
      <c r="C54" s="6" t="s">
        <v>21</v>
      </c>
      <c r="D54" s="6" t="s">
        <v>9</v>
      </c>
      <c r="E54" s="6" t="s">
        <v>8</v>
      </c>
      <c r="F54" s="6">
        <v>926</v>
      </c>
      <c r="G54" s="6">
        <v>207</v>
      </c>
      <c r="H54" s="6">
        <v>719</v>
      </c>
      <c r="I54" s="6" t="s">
        <v>19</v>
      </c>
      <c r="J54" s="6">
        <v>47</v>
      </c>
      <c r="K54" s="6" t="s">
        <v>27</v>
      </c>
      <c r="L54" s="7">
        <v>44950</v>
      </c>
      <c r="M54" s="9" t="s">
        <v>168</v>
      </c>
    </row>
    <row r="55" spans="1:13">
      <c r="A55" s="6" t="s">
        <v>185</v>
      </c>
      <c r="B55" s="8">
        <v>44950.703517592592</v>
      </c>
      <c r="C55" s="6" t="s">
        <v>23</v>
      </c>
      <c r="D55" s="6" t="s">
        <v>7</v>
      </c>
      <c r="E55" s="6" t="s">
        <v>12</v>
      </c>
      <c r="F55" s="6">
        <v>714</v>
      </c>
      <c r="G55" s="6">
        <v>168</v>
      </c>
      <c r="H55" s="6">
        <v>546</v>
      </c>
      <c r="I55" s="6" t="s">
        <v>16</v>
      </c>
      <c r="J55" s="6">
        <v>54</v>
      </c>
      <c r="K55" s="6" t="s">
        <v>27</v>
      </c>
      <c r="L55" s="7">
        <v>44950</v>
      </c>
      <c r="M55" s="9" t="s">
        <v>168</v>
      </c>
    </row>
    <row r="56" spans="1:13">
      <c r="A56" s="6" t="s">
        <v>184</v>
      </c>
      <c r="B56" s="8">
        <v>44951.150753773145</v>
      </c>
      <c r="C56" s="6" t="s">
        <v>22</v>
      </c>
      <c r="D56" s="6" t="s">
        <v>9</v>
      </c>
      <c r="E56" s="6" t="s">
        <v>2</v>
      </c>
      <c r="F56" s="6">
        <v>1047</v>
      </c>
      <c r="G56" s="6">
        <v>160</v>
      </c>
      <c r="H56" s="6">
        <v>887</v>
      </c>
      <c r="I56" s="6" t="s">
        <v>16</v>
      </c>
      <c r="J56" s="6">
        <v>24</v>
      </c>
      <c r="K56" s="6" t="s">
        <v>29</v>
      </c>
      <c r="L56" s="7">
        <v>44951</v>
      </c>
      <c r="M56" s="9" t="s">
        <v>168</v>
      </c>
    </row>
    <row r="57" spans="1:13">
      <c r="A57" s="6" t="s">
        <v>183</v>
      </c>
      <c r="B57" s="8">
        <v>44951.597989953705</v>
      </c>
      <c r="C57" s="6" t="s">
        <v>24</v>
      </c>
      <c r="D57" s="6" t="s">
        <v>9</v>
      </c>
      <c r="E57" s="6" t="s">
        <v>4</v>
      </c>
      <c r="F57" s="6">
        <v>241</v>
      </c>
      <c r="G57" s="6">
        <v>67</v>
      </c>
      <c r="H57" s="6">
        <v>174</v>
      </c>
      <c r="I57" s="6" t="s">
        <v>16</v>
      </c>
      <c r="J57" s="6">
        <v>57</v>
      </c>
      <c r="K57" s="6" t="s">
        <v>29</v>
      </c>
      <c r="L57" s="7">
        <v>44951</v>
      </c>
      <c r="M57" s="9" t="s">
        <v>168</v>
      </c>
    </row>
    <row r="58" spans="1:13">
      <c r="A58" s="6" t="s">
        <v>182</v>
      </c>
      <c r="B58" s="8">
        <v>44952.045226134258</v>
      </c>
      <c r="C58" s="6" t="s">
        <v>28</v>
      </c>
      <c r="D58" s="6" t="s">
        <v>5</v>
      </c>
      <c r="E58" s="6" t="s">
        <v>10</v>
      </c>
      <c r="F58" s="6">
        <v>1105</v>
      </c>
      <c r="G58" s="6">
        <v>288</v>
      </c>
      <c r="H58" s="6">
        <v>817</v>
      </c>
      <c r="I58" s="6" t="s">
        <v>19</v>
      </c>
      <c r="J58" s="6">
        <v>58</v>
      </c>
      <c r="K58" s="6" t="s">
        <v>29</v>
      </c>
      <c r="L58" s="7">
        <v>44952</v>
      </c>
      <c r="M58" s="9" t="s">
        <v>168</v>
      </c>
    </row>
    <row r="59" spans="1:13">
      <c r="A59" s="6" t="s">
        <v>181</v>
      </c>
      <c r="B59" s="8">
        <v>44952.492462314818</v>
      </c>
      <c r="C59" s="6" t="s">
        <v>22</v>
      </c>
      <c r="D59" s="6" t="s">
        <v>9</v>
      </c>
      <c r="E59" s="6" t="s">
        <v>4</v>
      </c>
      <c r="F59" s="6">
        <v>658</v>
      </c>
      <c r="G59" s="6">
        <v>276</v>
      </c>
      <c r="H59" s="6">
        <v>382</v>
      </c>
      <c r="I59" s="6" t="s">
        <v>19</v>
      </c>
      <c r="J59" s="6">
        <v>43</v>
      </c>
      <c r="K59" s="6" t="s">
        <v>27</v>
      </c>
      <c r="L59" s="7">
        <v>44952</v>
      </c>
      <c r="M59" s="9" t="s">
        <v>168</v>
      </c>
    </row>
    <row r="60" spans="1:13">
      <c r="A60" s="6" t="s">
        <v>180</v>
      </c>
      <c r="B60" s="8">
        <v>44952.939698495371</v>
      </c>
      <c r="C60" s="6" t="s">
        <v>28</v>
      </c>
      <c r="D60" s="6" t="s">
        <v>5</v>
      </c>
      <c r="E60" s="6" t="s">
        <v>2</v>
      </c>
      <c r="F60" s="6">
        <v>925</v>
      </c>
      <c r="G60" s="6">
        <v>134</v>
      </c>
      <c r="H60" s="6">
        <v>791</v>
      </c>
      <c r="I60" s="6" t="s">
        <v>16</v>
      </c>
      <c r="J60" s="6">
        <v>27</v>
      </c>
      <c r="K60" s="6" t="s">
        <v>27</v>
      </c>
      <c r="L60" s="7">
        <v>44952</v>
      </c>
      <c r="M60" s="9" t="s">
        <v>168</v>
      </c>
    </row>
    <row r="61" spans="1:13">
      <c r="A61" s="6" t="s">
        <v>179</v>
      </c>
      <c r="B61" s="8">
        <v>44953.386934675924</v>
      </c>
      <c r="C61" s="6" t="s">
        <v>18</v>
      </c>
      <c r="D61" s="6" t="s">
        <v>11</v>
      </c>
      <c r="E61" s="6" t="s">
        <v>12</v>
      </c>
      <c r="F61" s="6">
        <v>184</v>
      </c>
      <c r="G61" s="6">
        <v>194</v>
      </c>
      <c r="H61" s="6">
        <v>-10</v>
      </c>
      <c r="I61" s="6" t="s">
        <v>19</v>
      </c>
      <c r="J61" s="6">
        <v>26</v>
      </c>
      <c r="K61" s="6" t="s">
        <v>27</v>
      </c>
      <c r="L61" s="7">
        <v>44953</v>
      </c>
      <c r="M61" s="9" t="s">
        <v>168</v>
      </c>
    </row>
    <row r="62" spans="1:13">
      <c r="A62" s="6" t="s">
        <v>178</v>
      </c>
      <c r="B62" s="8">
        <v>44953.834170856484</v>
      </c>
      <c r="C62" s="6" t="s">
        <v>23</v>
      </c>
      <c r="D62" s="6" t="s">
        <v>1</v>
      </c>
      <c r="E62" s="6" t="s">
        <v>2</v>
      </c>
      <c r="F62" s="6">
        <v>355</v>
      </c>
      <c r="G62" s="6">
        <v>127</v>
      </c>
      <c r="H62" s="6">
        <v>228</v>
      </c>
      <c r="I62" s="6" t="s">
        <v>19</v>
      </c>
      <c r="J62" s="6">
        <v>45</v>
      </c>
      <c r="K62" s="6" t="s">
        <v>27</v>
      </c>
      <c r="L62" s="7">
        <v>44953</v>
      </c>
      <c r="M62" s="9" t="s">
        <v>168</v>
      </c>
    </row>
    <row r="63" spans="1:13">
      <c r="A63" s="6" t="s">
        <v>177</v>
      </c>
      <c r="B63" s="8">
        <v>44954.281407037037</v>
      </c>
      <c r="C63" s="6" t="s">
        <v>22</v>
      </c>
      <c r="D63" s="6" t="s">
        <v>9</v>
      </c>
      <c r="E63" s="6" t="s">
        <v>4</v>
      </c>
      <c r="F63" s="6">
        <v>1254</v>
      </c>
      <c r="G63" s="6">
        <v>32</v>
      </c>
      <c r="H63" s="6">
        <v>1222</v>
      </c>
      <c r="I63" s="6" t="s">
        <v>19</v>
      </c>
      <c r="J63" s="6">
        <v>60</v>
      </c>
      <c r="K63" s="6" t="s">
        <v>29</v>
      </c>
      <c r="L63" s="7">
        <v>44954</v>
      </c>
      <c r="M63" s="9" t="s">
        <v>168</v>
      </c>
    </row>
    <row r="64" spans="1:13">
      <c r="A64" s="6" t="s">
        <v>176</v>
      </c>
      <c r="B64" s="8">
        <v>44954.72864321759</v>
      </c>
      <c r="C64" s="6" t="s">
        <v>24</v>
      </c>
      <c r="D64" s="6" t="s">
        <v>9</v>
      </c>
      <c r="E64" s="6" t="s">
        <v>10</v>
      </c>
      <c r="F64" s="6">
        <v>1175</v>
      </c>
      <c r="G64" s="6">
        <v>175</v>
      </c>
      <c r="H64" s="6">
        <v>1000</v>
      </c>
      <c r="I64" s="6" t="s">
        <v>15</v>
      </c>
      <c r="J64" s="6">
        <v>16</v>
      </c>
      <c r="K64" s="6" t="s">
        <v>27</v>
      </c>
      <c r="L64" s="7">
        <v>44954</v>
      </c>
      <c r="M64" s="9" t="s">
        <v>168</v>
      </c>
    </row>
    <row r="65" spans="1:13">
      <c r="A65" s="6" t="s">
        <v>175</v>
      </c>
      <c r="B65" s="8">
        <v>44955.17587939815</v>
      </c>
      <c r="C65" s="6" t="s">
        <v>22</v>
      </c>
      <c r="D65" s="6" t="s">
        <v>9</v>
      </c>
      <c r="E65" s="6" t="s">
        <v>4</v>
      </c>
      <c r="F65" s="6">
        <v>1171</v>
      </c>
      <c r="G65" s="6">
        <v>21</v>
      </c>
      <c r="H65" s="6">
        <v>1150</v>
      </c>
      <c r="I65" s="6" t="s">
        <v>16</v>
      </c>
      <c r="J65" s="6">
        <v>65</v>
      </c>
      <c r="K65" s="6" t="s">
        <v>27</v>
      </c>
      <c r="L65" s="7">
        <v>44955</v>
      </c>
      <c r="M65" s="9" t="s">
        <v>168</v>
      </c>
    </row>
    <row r="66" spans="1:13">
      <c r="A66" s="6" t="s">
        <v>174</v>
      </c>
      <c r="B66" s="8">
        <v>44955.623115578703</v>
      </c>
      <c r="C66" s="6" t="s">
        <v>20</v>
      </c>
      <c r="D66" s="6" t="s">
        <v>3</v>
      </c>
      <c r="E66" s="6" t="s">
        <v>2</v>
      </c>
      <c r="F66" s="6">
        <v>715</v>
      </c>
      <c r="G66" s="6">
        <v>237</v>
      </c>
      <c r="H66" s="6">
        <v>478</v>
      </c>
      <c r="I66" s="6" t="s">
        <v>19</v>
      </c>
      <c r="J66" s="6">
        <v>64</v>
      </c>
      <c r="K66" s="6" t="s">
        <v>29</v>
      </c>
      <c r="L66" s="7">
        <v>44955</v>
      </c>
      <c r="M66" s="9" t="s">
        <v>168</v>
      </c>
    </row>
    <row r="67" spans="1:13">
      <c r="A67" s="6" t="s">
        <v>173</v>
      </c>
      <c r="B67" s="8">
        <v>44956.070351759263</v>
      </c>
      <c r="C67" s="6" t="s">
        <v>20</v>
      </c>
      <c r="D67" s="6" t="s">
        <v>3</v>
      </c>
      <c r="E67" s="6" t="s">
        <v>8</v>
      </c>
      <c r="F67" s="6">
        <v>1279</v>
      </c>
      <c r="G67" s="6">
        <v>157</v>
      </c>
      <c r="H67" s="6">
        <v>1122</v>
      </c>
      <c r="I67" s="6" t="s">
        <v>15</v>
      </c>
      <c r="J67" s="6">
        <v>49</v>
      </c>
      <c r="K67" s="6" t="s">
        <v>29</v>
      </c>
      <c r="L67" s="7">
        <v>44956</v>
      </c>
      <c r="M67" s="9" t="s">
        <v>168</v>
      </c>
    </row>
    <row r="68" spans="1:13">
      <c r="A68" s="6" t="s">
        <v>172</v>
      </c>
      <c r="B68" s="8">
        <v>44956.517587939816</v>
      </c>
      <c r="C68" s="6" t="s">
        <v>28</v>
      </c>
      <c r="D68" s="6" t="s">
        <v>7</v>
      </c>
      <c r="E68" s="6" t="s">
        <v>4</v>
      </c>
      <c r="F68" s="6">
        <v>852</v>
      </c>
      <c r="G68" s="6">
        <v>37</v>
      </c>
      <c r="H68" s="6">
        <v>815</v>
      </c>
      <c r="I68" s="6" t="s">
        <v>17</v>
      </c>
      <c r="J68" s="6">
        <v>37</v>
      </c>
      <c r="K68" s="6" t="s">
        <v>29</v>
      </c>
      <c r="L68" s="7">
        <v>44956</v>
      </c>
      <c r="M68" s="9" t="s">
        <v>168</v>
      </c>
    </row>
    <row r="69" spans="1:13">
      <c r="A69" s="6" t="s">
        <v>171</v>
      </c>
      <c r="B69" s="8">
        <v>44956.964824120369</v>
      </c>
      <c r="C69" s="6" t="s">
        <v>26</v>
      </c>
      <c r="D69" s="6" t="s">
        <v>1</v>
      </c>
      <c r="E69" s="6" t="s">
        <v>8</v>
      </c>
      <c r="F69" s="6">
        <v>551</v>
      </c>
      <c r="G69" s="6">
        <v>229</v>
      </c>
      <c r="H69" s="6">
        <v>322</v>
      </c>
      <c r="I69" s="6" t="s">
        <v>17</v>
      </c>
      <c r="J69" s="6">
        <v>31</v>
      </c>
      <c r="K69" s="6" t="s">
        <v>27</v>
      </c>
      <c r="L69" s="7">
        <v>44956</v>
      </c>
      <c r="M69" s="9" t="s">
        <v>168</v>
      </c>
    </row>
    <row r="70" spans="1:13">
      <c r="A70" s="6" t="s">
        <v>170</v>
      </c>
      <c r="B70" s="8">
        <v>44957.412060300929</v>
      </c>
      <c r="C70" s="6" t="s">
        <v>21</v>
      </c>
      <c r="D70" s="6" t="s">
        <v>1</v>
      </c>
      <c r="E70" s="6" t="s">
        <v>2</v>
      </c>
      <c r="F70" s="6">
        <v>879</v>
      </c>
      <c r="G70" s="6">
        <v>50</v>
      </c>
      <c r="H70" s="6">
        <v>829</v>
      </c>
      <c r="I70" s="6" t="s">
        <v>19</v>
      </c>
      <c r="J70" s="6">
        <v>40</v>
      </c>
      <c r="K70" s="6" t="s">
        <v>29</v>
      </c>
      <c r="L70" s="7">
        <v>44957</v>
      </c>
      <c r="M70" s="9" t="s">
        <v>168</v>
      </c>
    </row>
    <row r="71" spans="1:13">
      <c r="A71" s="6" t="s">
        <v>169</v>
      </c>
      <c r="B71" s="8">
        <v>44957.859296481482</v>
      </c>
      <c r="C71" s="6" t="s">
        <v>21</v>
      </c>
      <c r="D71" s="6" t="s">
        <v>3</v>
      </c>
      <c r="E71" s="6" t="s">
        <v>4</v>
      </c>
      <c r="F71" s="6">
        <v>311</v>
      </c>
      <c r="G71" s="6">
        <v>263</v>
      </c>
      <c r="H71" s="6">
        <v>48</v>
      </c>
      <c r="I71" s="6" t="s">
        <v>16</v>
      </c>
      <c r="J71" s="6">
        <v>22</v>
      </c>
      <c r="K71" s="6" t="s">
        <v>29</v>
      </c>
      <c r="L71" s="7">
        <v>44957</v>
      </c>
      <c r="M71" s="9" t="s">
        <v>168</v>
      </c>
    </row>
    <row r="72" spans="1:13">
      <c r="A72" s="6" t="s">
        <v>167</v>
      </c>
      <c r="B72" s="8">
        <v>44958.306532662034</v>
      </c>
      <c r="C72" s="6" t="s">
        <v>28</v>
      </c>
      <c r="D72" s="6" t="s">
        <v>7</v>
      </c>
      <c r="E72" s="6" t="s">
        <v>10</v>
      </c>
      <c r="F72" s="6">
        <v>351</v>
      </c>
      <c r="G72" s="6">
        <v>282</v>
      </c>
      <c r="H72" s="6">
        <v>69</v>
      </c>
      <c r="I72" s="6" t="s">
        <v>19</v>
      </c>
      <c r="J72" s="6">
        <v>43</v>
      </c>
      <c r="K72" s="6" t="s">
        <v>27</v>
      </c>
      <c r="L72" s="7">
        <v>44958</v>
      </c>
      <c r="M72" s="9" t="s">
        <v>105</v>
      </c>
    </row>
    <row r="73" spans="1:13">
      <c r="A73" s="6" t="s">
        <v>166</v>
      </c>
      <c r="B73" s="8">
        <v>44958.753768842595</v>
      </c>
      <c r="C73" s="6" t="s">
        <v>23</v>
      </c>
      <c r="D73" s="6" t="s">
        <v>3</v>
      </c>
      <c r="E73" s="6" t="s">
        <v>6</v>
      </c>
      <c r="F73" s="6">
        <v>1145</v>
      </c>
      <c r="G73" s="6">
        <v>26</v>
      </c>
      <c r="H73" s="6">
        <v>1119</v>
      </c>
      <c r="I73" s="6" t="s">
        <v>17</v>
      </c>
      <c r="J73" s="6">
        <v>40</v>
      </c>
      <c r="K73" s="6" t="s">
        <v>29</v>
      </c>
      <c r="L73" s="7">
        <v>44958</v>
      </c>
      <c r="M73" s="9" t="s">
        <v>105</v>
      </c>
    </row>
    <row r="74" spans="1:13">
      <c r="A74" s="6" t="s">
        <v>165</v>
      </c>
      <c r="B74" s="8">
        <v>44959.201005023147</v>
      </c>
      <c r="C74" s="6" t="s">
        <v>23</v>
      </c>
      <c r="D74" s="6" t="s">
        <v>11</v>
      </c>
      <c r="E74" s="6" t="s">
        <v>6</v>
      </c>
      <c r="F74" s="6">
        <v>419</v>
      </c>
      <c r="G74" s="6">
        <v>225</v>
      </c>
      <c r="H74" s="6">
        <v>194</v>
      </c>
      <c r="I74" s="6" t="s">
        <v>16</v>
      </c>
      <c r="J74" s="6">
        <v>24</v>
      </c>
      <c r="K74" s="6" t="s">
        <v>29</v>
      </c>
      <c r="L74" s="7">
        <v>44959</v>
      </c>
      <c r="M74" s="9" t="s">
        <v>105</v>
      </c>
    </row>
    <row r="75" spans="1:13">
      <c r="A75" s="6" t="s">
        <v>164</v>
      </c>
      <c r="B75" s="8">
        <v>44959.6482412037</v>
      </c>
      <c r="C75" s="6" t="s">
        <v>21</v>
      </c>
      <c r="D75" s="6" t="s">
        <v>7</v>
      </c>
      <c r="E75" s="6" t="s">
        <v>8</v>
      </c>
      <c r="F75" s="6">
        <v>965</v>
      </c>
      <c r="G75" s="6">
        <v>276</v>
      </c>
      <c r="H75" s="6">
        <v>689</v>
      </c>
      <c r="I75" s="6" t="s">
        <v>16</v>
      </c>
      <c r="J75" s="6">
        <v>40</v>
      </c>
      <c r="K75" s="6" t="s">
        <v>29</v>
      </c>
      <c r="L75" s="7">
        <v>44959</v>
      </c>
      <c r="M75" s="9" t="s">
        <v>105</v>
      </c>
    </row>
    <row r="76" spans="1:13">
      <c r="A76" s="6" t="s">
        <v>163</v>
      </c>
      <c r="B76" s="8">
        <v>44960.09547738426</v>
      </c>
      <c r="C76" s="6" t="s">
        <v>22</v>
      </c>
      <c r="D76" s="6" t="s">
        <v>1</v>
      </c>
      <c r="E76" s="6" t="s">
        <v>2</v>
      </c>
      <c r="F76" s="6">
        <v>1444</v>
      </c>
      <c r="G76" s="6">
        <v>285</v>
      </c>
      <c r="H76" s="6">
        <v>1159</v>
      </c>
      <c r="I76" s="6" t="s">
        <v>17</v>
      </c>
      <c r="J76" s="6">
        <v>48</v>
      </c>
      <c r="K76" s="6" t="s">
        <v>29</v>
      </c>
      <c r="L76" s="7">
        <v>44960</v>
      </c>
      <c r="M76" s="9" t="s">
        <v>105</v>
      </c>
    </row>
    <row r="77" spans="1:13">
      <c r="A77" s="6" t="s">
        <v>162</v>
      </c>
      <c r="B77" s="8">
        <v>44960.542713564813</v>
      </c>
      <c r="C77" s="6" t="s">
        <v>18</v>
      </c>
      <c r="D77" s="6" t="s">
        <v>1</v>
      </c>
      <c r="E77" s="6" t="s">
        <v>8</v>
      </c>
      <c r="F77" s="6">
        <v>605</v>
      </c>
      <c r="G77" s="6">
        <v>96</v>
      </c>
      <c r="H77" s="6">
        <v>509</v>
      </c>
      <c r="I77" s="6" t="s">
        <v>15</v>
      </c>
      <c r="J77" s="6">
        <v>65</v>
      </c>
      <c r="K77" s="6" t="s">
        <v>29</v>
      </c>
      <c r="L77" s="7">
        <v>44960</v>
      </c>
      <c r="M77" s="9" t="s">
        <v>105</v>
      </c>
    </row>
    <row r="78" spans="1:13">
      <c r="A78" s="6" t="s">
        <v>161</v>
      </c>
      <c r="B78" s="8">
        <v>44960.989949745373</v>
      </c>
      <c r="C78" s="6" t="s">
        <v>23</v>
      </c>
      <c r="D78" s="6" t="s">
        <v>3</v>
      </c>
      <c r="E78" s="6" t="s">
        <v>2</v>
      </c>
      <c r="F78" s="6">
        <v>1425</v>
      </c>
      <c r="G78" s="6">
        <v>283</v>
      </c>
      <c r="H78" s="6">
        <v>1142</v>
      </c>
      <c r="I78" s="6" t="s">
        <v>15</v>
      </c>
      <c r="J78" s="6">
        <v>55</v>
      </c>
      <c r="K78" s="6" t="s">
        <v>27</v>
      </c>
      <c r="L78" s="7">
        <v>44960</v>
      </c>
      <c r="M78" s="9" t="s">
        <v>105</v>
      </c>
    </row>
    <row r="79" spans="1:13">
      <c r="A79" s="6" t="s">
        <v>160</v>
      </c>
      <c r="B79" s="8">
        <v>44961.437185925926</v>
      </c>
      <c r="C79" s="6" t="s">
        <v>18</v>
      </c>
      <c r="D79" s="6" t="s">
        <v>11</v>
      </c>
      <c r="E79" s="6" t="s">
        <v>2</v>
      </c>
      <c r="F79" s="6">
        <v>1166</v>
      </c>
      <c r="G79" s="6">
        <v>146</v>
      </c>
      <c r="H79" s="6">
        <v>1020</v>
      </c>
      <c r="I79" s="6" t="s">
        <v>19</v>
      </c>
      <c r="J79" s="6">
        <v>21</v>
      </c>
      <c r="K79" s="6" t="s">
        <v>27</v>
      </c>
      <c r="L79" s="7">
        <v>44961</v>
      </c>
      <c r="M79" s="9" t="s">
        <v>105</v>
      </c>
    </row>
    <row r="80" spans="1:13">
      <c r="A80" s="6" t="s">
        <v>159</v>
      </c>
      <c r="B80" s="8">
        <v>44961.884422106479</v>
      </c>
      <c r="C80" s="6" t="s">
        <v>21</v>
      </c>
      <c r="D80" s="6" t="s">
        <v>3</v>
      </c>
      <c r="E80" s="6" t="s">
        <v>6</v>
      </c>
      <c r="F80" s="6">
        <v>445</v>
      </c>
      <c r="G80" s="6">
        <v>3</v>
      </c>
      <c r="H80" s="6">
        <v>442</v>
      </c>
      <c r="I80" s="6" t="s">
        <v>16</v>
      </c>
      <c r="J80" s="6">
        <v>18</v>
      </c>
      <c r="K80" s="6" t="s">
        <v>29</v>
      </c>
      <c r="L80" s="7">
        <v>44961</v>
      </c>
      <c r="M80" s="9" t="s">
        <v>105</v>
      </c>
    </row>
    <row r="81" spans="1:13">
      <c r="A81" s="6" t="s">
        <v>158</v>
      </c>
      <c r="B81" s="8">
        <v>44962.331658287039</v>
      </c>
      <c r="C81" s="6" t="s">
        <v>28</v>
      </c>
      <c r="D81" s="6" t="s">
        <v>5</v>
      </c>
      <c r="E81" s="6" t="s">
        <v>10</v>
      </c>
      <c r="F81" s="6">
        <v>869</v>
      </c>
      <c r="G81" s="6">
        <v>34</v>
      </c>
      <c r="H81" s="6">
        <v>835</v>
      </c>
      <c r="I81" s="6" t="s">
        <v>19</v>
      </c>
      <c r="J81" s="6">
        <v>72</v>
      </c>
      <c r="K81" s="6" t="s">
        <v>29</v>
      </c>
      <c r="L81" s="7">
        <v>44962</v>
      </c>
      <c r="M81" s="9" t="s">
        <v>105</v>
      </c>
    </row>
    <row r="82" spans="1:13">
      <c r="A82" s="6" t="s">
        <v>157</v>
      </c>
      <c r="B82" s="8">
        <v>44962.778894467592</v>
      </c>
      <c r="C82" s="6" t="s">
        <v>24</v>
      </c>
      <c r="D82" s="6" t="s">
        <v>5</v>
      </c>
      <c r="E82" s="6" t="s">
        <v>10</v>
      </c>
      <c r="F82" s="6">
        <v>487</v>
      </c>
      <c r="G82" s="6">
        <v>191</v>
      </c>
      <c r="H82" s="6">
        <v>296</v>
      </c>
      <c r="I82" s="6" t="s">
        <v>16</v>
      </c>
      <c r="J82" s="6">
        <v>67</v>
      </c>
      <c r="K82" s="6" t="s">
        <v>29</v>
      </c>
      <c r="L82" s="7">
        <v>44962</v>
      </c>
      <c r="M82" s="9" t="s">
        <v>105</v>
      </c>
    </row>
    <row r="83" spans="1:13">
      <c r="A83" s="6" t="s">
        <v>156</v>
      </c>
      <c r="B83" s="8">
        <v>44963.226130648145</v>
      </c>
      <c r="C83" s="6" t="s">
        <v>21</v>
      </c>
      <c r="D83" s="6" t="s">
        <v>11</v>
      </c>
      <c r="E83" s="6" t="s">
        <v>4</v>
      </c>
      <c r="F83" s="6">
        <v>1028</v>
      </c>
      <c r="G83" s="6">
        <v>48</v>
      </c>
      <c r="H83" s="6">
        <v>980</v>
      </c>
      <c r="I83" s="6" t="s">
        <v>17</v>
      </c>
      <c r="J83" s="6">
        <v>64</v>
      </c>
      <c r="K83" s="6" t="s">
        <v>29</v>
      </c>
      <c r="L83" s="7">
        <v>44963</v>
      </c>
      <c r="M83" s="9" t="s">
        <v>105</v>
      </c>
    </row>
    <row r="84" spans="1:13">
      <c r="A84" s="6" t="s">
        <v>155</v>
      </c>
      <c r="B84" s="8">
        <v>44963.673366828705</v>
      </c>
      <c r="C84" s="6" t="s">
        <v>24</v>
      </c>
      <c r="D84" s="6" t="s">
        <v>9</v>
      </c>
      <c r="E84" s="6" t="s">
        <v>8</v>
      </c>
      <c r="F84" s="6">
        <v>1226</v>
      </c>
      <c r="G84" s="6">
        <v>16</v>
      </c>
      <c r="H84" s="6">
        <v>1210</v>
      </c>
      <c r="I84" s="6" t="s">
        <v>16</v>
      </c>
      <c r="J84" s="6">
        <v>59</v>
      </c>
      <c r="K84" s="6" t="s">
        <v>29</v>
      </c>
      <c r="L84" s="7">
        <v>44963</v>
      </c>
      <c r="M84" s="9" t="s">
        <v>105</v>
      </c>
    </row>
    <row r="85" spans="1:13">
      <c r="A85" s="6" t="s">
        <v>154</v>
      </c>
      <c r="B85" s="8">
        <v>44964.120603020834</v>
      </c>
      <c r="C85" s="6" t="s">
        <v>23</v>
      </c>
      <c r="D85" s="6" t="s">
        <v>9</v>
      </c>
      <c r="E85" s="6" t="s">
        <v>10</v>
      </c>
      <c r="F85" s="6">
        <v>941</v>
      </c>
      <c r="G85" s="6">
        <v>171</v>
      </c>
      <c r="H85" s="6">
        <v>770</v>
      </c>
      <c r="I85" s="6" t="s">
        <v>16</v>
      </c>
      <c r="J85" s="6">
        <v>25</v>
      </c>
      <c r="K85" s="6" t="s">
        <v>27</v>
      </c>
      <c r="L85" s="7">
        <v>44964</v>
      </c>
      <c r="M85" s="9" t="s">
        <v>105</v>
      </c>
    </row>
    <row r="86" spans="1:13">
      <c r="A86" s="6" t="s">
        <v>153</v>
      </c>
      <c r="B86" s="8">
        <v>44964.567839201387</v>
      </c>
      <c r="C86" s="6" t="s">
        <v>18</v>
      </c>
      <c r="D86" s="6" t="s">
        <v>5</v>
      </c>
      <c r="E86" s="6" t="s">
        <v>12</v>
      </c>
      <c r="F86" s="6">
        <v>366</v>
      </c>
      <c r="G86" s="6">
        <v>219</v>
      </c>
      <c r="H86" s="6">
        <v>147</v>
      </c>
      <c r="I86" s="6" t="s">
        <v>17</v>
      </c>
      <c r="J86" s="6">
        <v>43</v>
      </c>
      <c r="K86" s="6" t="s">
        <v>29</v>
      </c>
      <c r="L86" s="7">
        <v>44964</v>
      </c>
      <c r="M86" s="9" t="s">
        <v>105</v>
      </c>
    </row>
    <row r="87" spans="1:13">
      <c r="A87" s="6" t="s">
        <v>152</v>
      </c>
      <c r="B87" s="8">
        <v>44965.015075381947</v>
      </c>
      <c r="C87" s="6" t="s">
        <v>28</v>
      </c>
      <c r="D87" s="6" t="s">
        <v>5</v>
      </c>
      <c r="E87" s="6" t="s">
        <v>4</v>
      </c>
      <c r="F87" s="6">
        <v>913</v>
      </c>
      <c r="G87" s="6">
        <v>157</v>
      </c>
      <c r="H87" s="6">
        <v>756</v>
      </c>
      <c r="I87" s="6" t="s">
        <v>15</v>
      </c>
      <c r="J87" s="6">
        <v>70</v>
      </c>
      <c r="K87" s="6" t="s">
        <v>27</v>
      </c>
      <c r="L87" s="7">
        <v>44965</v>
      </c>
      <c r="M87" s="9" t="s">
        <v>105</v>
      </c>
    </row>
    <row r="88" spans="1:13">
      <c r="A88" s="6" t="s">
        <v>151</v>
      </c>
      <c r="B88" s="8">
        <v>44965.4623115625</v>
      </c>
      <c r="C88" s="6" t="s">
        <v>23</v>
      </c>
      <c r="D88" s="6" t="s">
        <v>9</v>
      </c>
      <c r="E88" s="6" t="s">
        <v>4</v>
      </c>
      <c r="F88" s="6">
        <v>337</v>
      </c>
      <c r="G88" s="6">
        <v>45</v>
      </c>
      <c r="H88" s="6">
        <v>292</v>
      </c>
      <c r="I88" s="6" t="s">
        <v>17</v>
      </c>
      <c r="J88" s="6">
        <v>50</v>
      </c>
      <c r="K88" s="6" t="s">
        <v>29</v>
      </c>
      <c r="L88" s="7">
        <v>44965</v>
      </c>
      <c r="M88" s="9" t="s">
        <v>105</v>
      </c>
    </row>
    <row r="89" spans="1:13">
      <c r="A89" s="6" t="s">
        <v>150</v>
      </c>
      <c r="B89" s="8">
        <v>44965.909547743053</v>
      </c>
      <c r="C89" s="6" t="s">
        <v>24</v>
      </c>
      <c r="D89" s="6" t="s">
        <v>7</v>
      </c>
      <c r="E89" s="6" t="s">
        <v>6</v>
      </c>
      <c r="F89" s="6">
        <v>529</v>
      </c>
      <c r="G89" s="6">
        <v>5</v>
      </c>
      <c r="H89" s="6">
        <v>524</v>
      </c>
      <c r="I89" s="6" t="s">
        <v>16</v>
      </c>
      <c r="J89" s="6">
        <v>39</v>
      </c>
      <c r="K89" s="6" t="s">
        <v>29</v>
      </c>
      <c r="L89" s="7">
        <v>44965</v>
      </c>
      <c r="M89" s="9" t="s">
        <v>105</v>
      </c>
    </row>
    <row r="90" spans="1:13">
      <c r="A90" s="6" t="s">
        <v>149</v>
      </c>
      <c r="B90" s="8">
        <v>44966.356783923613</v>
      </c>
      <c r="C90" s="6" t="s">
        <v>26</v>
      </c>
      <c r="D90" s="6" t="s">
        <v>9</v>
      </c>
      <c r="E90" s="6" t="s">
        <v>8</v>
      </c>
      <c r="F90" s="6">
        <v>642</v>
      </c>
      <c r="G90" s="6">
        <v>98</v>
      </c>
      <c r="H90" s="6">
        <v>544</v>
      </c>
      <c r="I90" s="6" t="s">
        <v>17</v>
      </c>
      <c r="J90" s="6">
        <v>35</v>
      </c>
      <c r="K90" s="6" t="s">
        <v>29</v>
      </c>
      <c r="L90" s="7">
        <v>44966</v>
      </c>
      <c r="M90" s="9" t="s">
        <v>105</v>
      </c>
    </row>
    <row r="91" spans="1:13">
      <c r="A91" s="6" t="s">
        <v>148</v>
      </c>
      <c r="B91" s="8">
        <v>44966.804020104166</v>
      </c>
      <c r="C91" s="6" t="s">
        <v>26</v>
      </c>
      <c r="D91" s="6" t="s">
        <v>3</v>
      </c>
      <c r="E91" s="6" t="s">
        <v>10</v>
      </c>
      <c r="F91" s="6">
        <v>1214</v>
      </c>
      <c r="G91" s="6">
        <v>232</v>
      </c>
      <c r="H91" s="6">
        <v>982</v>
      </c>
      <c r="I91" s="6" t="s">
        <v>16</v>
      </c>
      <c r="J91" s="6">
        <v>71</v>
      </c>
      <c r="K91" s="6" t="s">
        <v>27</v>
      </c>
      <c r="L91" s="7">
        <v>44966</v>
      </c>
      <c r="M91" s="9" t="s">
        <v>105</v>
      </c>
    </row>
    <row r="92" spans="1:13">
      <c r="A92" s="6" t="s">
        <v>147</v>
      </c>
      <c r="B92" s="8">
        <v>44967.251256284719</v>
      </c>
      <c r="C92" s="6" t="s">
        <v>26</v>
      </c>
      <c r="D92" s="6" t="s">
        <v>7</v>
      </c>
      <c r="E92" s="6" t="s">
        <v>10</v>
      </c>
      <c r="F92" s="6">
        <v>1330</v>
      </c>
      <c r="G92" s="6">
        <v>36</v>
      </c>
      <c r="H92" s="6">
        <v>1294</v>
      </c>
      <c r="I92" s="6" t="s">
        <v>15</v>
      </c>
      <c r="J92" s="6">
        <v>50</v>
      </c>
      <c r="K92" s="6" t="s">
        <v>29</v>
      </c>
      <c r="L92" s="7">
        <v>44967</v>
      </c>
      <c r="M92" s="9" t="s">
        <v>105</v>
      </c>
    </row>
    <row r="93" spans="1:13">
      <c r="A93" s="6" t="s">
        <v>146</v>
      </c>
      <c r="B93" s="8">
        <v>44967.698492465279</v>
      </c>
      <c r="C93" s="6" t="s">
        <v>22</v>
      </c>
      <c r="D93" s="6" t="s">
        <v>3</v>
      </c>
      <c r="E93" s="6" t="s">
        <v>2</v>
      </c>
      <c r="F93" s="6">
        <v>164</v>
      </c>
      <c r="G93" s="6">
        <v>279</v>
      </c>
      <c r="H93" s="6">
        <v>-115</v>
      </c>
      <c r="I93" s="6" t="s">
        <v>15</v>
      </c>
      <c r="J93" s="6">
        <v>24</v>
      </c>
      <c r="K93" s="6" t="s">
        <v>27</v>
      </c>
      <c r="L93" s="7">
        <v>44967</v>
      </c>
      <c r="M93" s="9" t="s">
        <v>105</v>
      </c>
    </row>
    <row r="94" spans="1:13">
      <c r="A94" s="6" t="s">
        <v>145</v>
      </c>
      <c r="B94" s="8">
        <v>44968.145728645832</v>
      </c>
      <c r="C94" s="6" t="s">
        <v>20</v>
      </c>
      <c r="D94" s="6" t="s">
        <v>5</v>
      </c>
      <c r="E94" s="6" t="s">
        <v>4</v>
      </c>
      <c r="F94" s="6">
        <v>214</v>
      </c>
      <c r="G94" s="6">
        <v>180</v>
      </c>
      <c r="H94" s="6">
        <v>34</v>
      </c>
      <c r="I94" s="6" t="s">
        <v>16</v>
      </c>
      <c r="J94" s="6">
        <v>51</v>
      </c>
      <c r="K94" s="6" t="s">
        <v>29</v>
      </c>
      <c r="L94" s="7">
        <v>44968</v>
      </c>
      <c r="M94" s="9" t="s">
        <v>105</v>
      </c>
    </row>
    <row r="95" spans="1:13">
      <c r="A95" s="6" t="s">
        <v>144</v>
      </c>
      <c r="B95" s="8">
        <v>44968.592964826392</v>
      </c>
      <c r="C95" s="6" t="s">
        <v>18</v>
      </c>
      <c r="D95" s="6" t="s">
        <v>7</v>
      </c>
      <c r="E95" s="6" t="s">
        <v>8</v>
      </c>
      <c r="F95" s="6">
        <v>670</v>
      </c>
      <c r="G95" s="6">
        <v>94</v>
      </c>
      <c r="H95" s="6">
        <v>576</v>
      </c>
      <c r="I95" s="6" t="s">
        <v>15</v>
      </c>
      <c r="J95" s="6">
        <v>23</v>
      </c>
      <c r="K95" s="6" t="s">
        <v>29</v>
      </c>
      <c r="L95" s="7">
        <v>44968</v>
      </c>
      <c r="M95" s="9" t="s">
        <v>105</v>
      </c>
    </row>
    <row r="96" spans="1:13">
      <c r="A96" s="6" t="s">
        <v>143</v>
      </c>
      <c r="B96" s="8">
        <v>44969.040201006945</v>
      </c>
      <c r="C96" s="6" t="s">
        <v>26</v>
      </c>
      <c r="D96" s="6" t="s">
        <v>3</v>
      </c>
      <c r="E96" s="6" t="s">
        <v>8</v>
      </c>
      <c r="F96" s="6">
        <v>1302</v>
      </c>
      <c r="G96" s="6">
        <v>98</v>
      </c>
      <c r="H96" s="6">
        <v>1204</v>
      </c>
      <c r="I96" s="6" t="s">
        <v>17</v>
      </c>
      <c r="J96" s="6">
        <v>38</v>
      </c>
      <c r="K96" s="6" t="s">
        <v>27</v>
      </c>
      <c r="L96" s="7">
        <v>44969</v>
      </c>
      <c r="M96" s="9" t="s">
        <v>105</v>
      </c>
    </row>
    <row r="97" spans="1:13">
      <c r="A97" s="6" t="s">
        <v>142</v>
      </c>
      <c r="B97" s="8">
        <v>44969.487437187498</v>
      </c>
      <c r="C97" s="6" t="s">
        <v>18</v>
      </c>
      <c r="D97" s="6" t="s">
        <v>3</v>
      </c>
      <c r="E97" s="6" t="s">
        <v>8</v>
      </c>
      <c r="F97" s="6">
        <v>797</v>
      </c>
      <c r="G97" s="6">
        <v>187</v>
      </c>
      <c r="H97" s="6">
        <v>610</v>
      </c>
      <c r="I97" s="6" t="s">
        <v>15</v>
      </c>
      <c r="J97" s="6">
        <v>49</v>
      </c>
      <c r="K97" s="6" t="s">
        <v>27</v>
      </c>
      <c r="L97" s="7">
        <v>44969</v>
      </c>
      <c r="M97" s="9" t="s">
        <v>105</v>
      </c>
    </row>
    <row r="98" spans="1:13">
      <c r="A98" s="6" t="s">
        <v>141</v>
      </c>
      <c r="B98" s="8">
        <v>44969.934673368058</v>
      </c>
      <c r="C98" s="6" t="s">
        <v>23</v>
      </c>
      <c r="D98" s="6" t="s">
        <v>7</v>
      </c>
      <c r="E98" s="6" t="s">
        <v>2</v>
      </c>
      <c r="F98" s="6">
        <v>1236</v>
      </c>
      <c r="G98" s="6">
        <v>115</v>
      </c>
      <c r="H98" s="6">
        <v>1121</v>
      </c>
      <c r="I98" s="6" t="s">
        <v>19</v>
      </c>
      <c r="J98" s="6">
        <v>63</v>
      </c>
      <c r="K98" s="6" t="s">
        <v>29</v>
      </c>
      <c r="L98" s="7">
        <v>44969</v>
      </c>
      <c r="M98" s="9" t="s">
        <v>105</v>
      </c>
    </row>
    <row r="99" spans="1:13">
      <c r="A99" s="6" t="s">
        <v>140</v>
      </c>
      <c r="B99" s="8">
        <v>44970.381909548611</v>
      </c>
      <c r="C99" s="6" t="s">
        <v>24</v>
      </c>
      <c r="D99" s="6" t="s">
        <v>11</v>
      </c>
      <c r="E99" s="6" t="s">
        <v>6</v>
      </c>
      <c r="F99" s="6">
        <v>1312</v>
      </c>
      <c r="G99" s="6">
        <v>190</v>
      </c>
      <c r="H99" s="6">
        <v>1122</v>
      </c>
      <c r="I99" s="6" t="s">
        <v>15</v>
      </c>
      <c r="J99" s="6">
        <v>49</v>
      </c>
      <c r="K99" s="6" t="s">
        <v>29</v>
      </c>
      <c r="L99" s="7">
        <v>44970</v>
      </c>
      <c r="M99" s="9" t="s">
        <v>105</v>
      </c>
    </row>
    <row r="100" spans="1:13">
      <c r="A100" s="6" t="s">
        <v>139</v>
      </c>
      <c r="B100" s="8">
        <v>44970.829145729163</v>
      </c>
      <c r="C100" s="6" t="s">
        <v>23</v>
      </c>
      <c r="D100" s="6" t="s">
        <v>9</v>
      </c>
      <c r="E100" s="6" t="s">
        <v>10</v>
      </c>
      <c r="F100" s="6">
        <v>742</v>
      </c>
      <c r="G100" s="6">
        <v>252</v>
      </c>
      <c r="H100" s="6">
        <v>490</v>
      </c>
      <c r="I100" s="6" t="s">
        <v>19</v>
      </c>
      <c r="J100" s="6">
        <v>62</v>
      </c>
      <c r="K100" s="6" t="s">
        <v>29</v>
      </c>
      <c r="L100" s="7">
        <v>44970</v>
      </c>
      <c r="M100" s="9" t="s">
        <v>105</v>
      </c>
    </row>
    <row r="101" spans="1:13">
      <c r="A101" s="6" t="s">
        <v>138</v>
      </c>
      <c r="B101" s="8">
        <v>44971.276381909724</v>
      </c>
      <c r="C101" s="6" t="s">
        <v>20</v>
      </c>
      <c r="D101" s="6" t="s">
        <v>1</v>
      </c>
      <c r="E101" s="6" t="s">
        <v>8</v>
      </c>
      <c r="F101" s="6">
        <v>541</v>
      </c>
      <c r="G101" s="6">
        <v>160</v>
      </c>
      <c r="H101" s="6">
        <v>381</v>
      </c>
      <c r="I101" s="6" t="s">
        <v>17</v>
      </c>
      <c r="J101" s="6">
        <v>50</v>
      </c>
      <c r="K101" s="6" t="s">
        <v>27</v>
      </c>
      <c r="L101" s="7">
        <v>44971</v>
      </c>
      <c r="M101" s="9" t="s">
        <v>105</v>
      </c>
    </row>
    <row r="102" spans="1:13">
      <c r="A102" s="6" t="s">
        <v>137</v>
      </c>
      <c r="B102" s="8">
        <v>44971.723618090276</v>
      </c>
      <c r="C102" s="6" t="s">
        <v>26</v>
      </c>
      <c r="D102" s="6" t="s">
        <v>3</v>
      </c>
      <c r="E102" s="6" t="s">
        <v>2</v>
      </c>
      <c r="F102" s="6">
        <v>568</v>
      </c>
      <c r="G102" s="6">
        <v>255</v>
      </c>
      <c r="H102" s="6">
        <v>313</v>
      </c>
      <c r="I102" s="6" t="s">
        <v>15</v>
      </c>
      <c r="J102" s="6">
        <v>32</v>
      </c>
      <c r="K102" s="6" t="s">
        <v>27</v>
      </c>
      <c r="L102" s="7">
        <v>44971</v>
      </c>
      <c r="M102" s="9" t="s">
        <v>105</v>
      </c>
    </row>
    <row r="103" spans="1:13">
      <c r="A103" s="6" t="s">
        <v>136</v>
      </c>
      <c r="B103" s="8">
        <v>44972.170854270837</v>
      </c>
      <c r="C103" s="6" t="s">
        <v>22</v>
      </c>
      <c r="D103" s="6" t="s">
        <v>9</v>
      </c>
      <c r="E103" s="6" t="s">
        <v>6</v>
      </c>
      <c r="F103" s="6">
        <v>438</v>
      </c>
      <c r="G103" s="6">
        <v>127</v>
      </c>
      <c r="H103" s="6">
        <v>311</v>
      </c>
      <c r="I103" s="6" t="s">
        <v>15</v>
      </c>
      <c r="J103" s="6">
        <v>63</v>
      </c>
      <c r="K103" s="6" t="s">
        <v>29</v>
      </c>
      <c r="L103" s="7">
        <v>44972</v>
      </c>
      <c r="M103" s="6" t="s">
        <v>105</v>
      </c>
    </row>
    <row r="104" spans="1:13">
      <c r="A104" s="6" t="s">
        <v>135</v>
      </c>
      <c r="B104" s="8">
        <v>44972.618090451389</v>
      </c>
      <c r="C104" s="6" t="s">
        <v>22</v>
      </c>
      <c r="D104" s="6" t="s">
        <v>1</v>
      </c>
      <c r="E104" s="6" t="s">
        <v>2</v>
      </c>
      <c r="F104" s="6">
        <v>528</v>
      </c>
      <c r="G104" s="6">
        <v>17</v>
      </c>
      <c r="H104" s="6">
        <v>511</v>
      </c>
      <c r="I104" s="6" t="s">
        <v>15</v>
      </c>
      <c r="J104" s="6">
        <v>53</v>
      </c>
      <c r="K104" s="6" t="s">
        <v>27</v>
      </c>
      <c r="L104" s="7">
        <v>44972</v>
      </c>
      <c r="M104" s="6" t="s">
        <v>105</v>
      </c>
    </row>
    <row r="105" spans="1:13">
      <c r="A105" s="6" t="s">
        <v>134</v>
      </c>
      <c r="B105" s="8">
        <v>44973.065326631942</v>
      </c>
      <c r="C105" s="6" t="s">
        <v>24</v>
      </c>
      <c r="D105" s="6" t="s">
        <v>9</v>
      </c>
      <c r="E105" s="6" t="s">
        <v>12</v>
      </c>
      <c r="F105" s="6">
        <v>380</v>
      </c>
      <c r="G105" s="6">
        <v>280</v>
      </c>
      <c r="H105" s="6">
        <v>100</v>
      </c>
      <c r="I105" s="6" t="s">
        <v>17</v>
      </c>
      <c r="J105" s="6">
        <v>46</v>
      </c>
      <c r="K105" s="6" t="s">
        <v>29</v>
      </c>
      <c r="L105" s="7">
        <v>44973</v>
      </c>
      <c r="M105" s="6" t="s">
        <v>105</v>
      </c>
    </row>
    <row r="106" spans="1:13">
      <c r="A106" s="6" t="s">
        <v>133</v>
      </c>
      <c r="B106" s="8">
        <v>44973.512562812502</v>
      </c>
      <c r="C106" s="6" t="s">
        <v>21</v>
      </c>
      <c r="D106" s="6" t="s">
        <v>5</v>
      </c>
      <c r="E106" s="6" t="s">
        <v>4</v>
      </c>
      <c r="F106" s="6">
        <v>1167</v>
      </c>
      <c r="G106" s="6">
        <v>222</v>
      </c>
      <c r="H106" s="6">
        <v>945</v>
      </c>
      <c r="I106" s="6" t="s">
        <v>17</v>
      </c>
      <c r="J106" s="6">
        <v>38</v>
      </c>
      <c r="K106" s="6" t="s">
        <v>29</v>
      </c>
      <c r="L106" s="7">
        <v>44973</v>
      </c>
      <c r="M106" s="6" t="s">
        <v>105</v>
      </c>
    </row>
    <row r="107" spans="1:13">
      <c r="A107" s="6" t="s">
        <v>132</v>
      </c>
      <c r="B107" s="8">
        <v>44973.959798993055</v>
      </c>
      <c r="C107" s="6" t="s">
        <v>22</v>
      </c>
      <c r="D107" s="6" t="s">
        <v>1</v>
      </c>
      <c r="E107" s="6" t="s">
        <v>10</v>
      </c>
      <c r="F107" s="6">
        <v>190</v>
      </c>
      <c r="G107" s="6">
        <v>53</v>
      </c>
      <c r="H107" s="6">
        <v>137</v>
      </c>
      <c r="I107" s="6" t="s">
        <v>19</v>
      </c>
      <c r="J107" s="6">
        <v>37</v>
      </c>
      <c r="K107" s="6" t="s">
        <v>29</v>
      </c>
      <c r="L107" s="7">
        <v>44973</v>
      </c>
      <c r="M107" s="6" t="s">
        <v>105</v>
      </c>
    </row>
    <row r="108" spans="1:13">
      <c r="A108" s="6" t="s">
        <v>131</v>
      </c>
      <c r="B108" s="8">
        <v>44974.407035173608</v>
      </c>
      <c r="C108" s="6" t="s">
        <v>26</v>
      </c>
      <c r="D108" s="6" t="s">
        <v>9</v>
      </c>
      <c r="E108" s="6" t="s">
        <v>2</v>
      </c>
      <c r="F108" s="6">
        <v>1201</v>
      </c>
      <c r="G108" s="6">
        <v>57</v>
      </c>
      <c r="H108" s="6">
        <v>1144</v>
      </c>
      <c r="I108" s="6" t="s">
        <v>16</v>
      </c>
      <c r="J108" s="6">
        <v>46</v>
      </c>
      <c r="K108" s="6" t="s">
        <v>27</v>
      </c>
      <c r="L108" s="7">
        <v>44974</v>
      </c>
      <c r="M108" s="6" t="s">
        <v>105</v>
      </c>
    </row>
    <row r="109" spans="1:13">
      <c r="A109" s="6" t="s">
        <v>130</v>
      </c>
      <c r="B109" s="8">
        <v>44974.854271354168</v>
      </c>
      <c r="C109" s="6" t="s">
        <v>18</v>
      </c>
      <c r="D109" s="6" t="s">
        <v>3</v>
      </c>
      <c r="E109" s="6" t="s">
        <v>2</v>
      </c>
      <c r="F109" s="6">
        <v>284</v>
      </c>
      <c r="G109" s="6">
        <v>173</v>
      </c>
      <c r="H109" s="6">
        <v>111</v>
      </c>
      <c r="I109" s="6" t="s">
        <v>17</v>
      </c>
      <c r="J109" s="6">
        <v>51</v>
      </c>
      <c r="K109" s="6" t="s">
        <v>27</v>
      </c>
      <c r="L109" s="7">
        <v>44974</v>
      </c>
      <c r="M109" s="6" t="s">
        <v>105</v>
      </c>
    </row>
    <row r="110" spans="1:13">
      <c r="A110" s="6" t="s">
        <v>129</v>
      </c>
      <c r="B110" s="8">
        <v>44975.301507534721</v>
      </c>
      <c r="C110" s="6" t="s">
        <v>18</v>
      </c>
      <c r="D110" s="6" t="s">
        <v>1</v>
      </c>
      <c r="E110" s="6" t="s">
        <v>10</v>
      </c>
      <c r="F110" s="6">
        <v>350</v>
      </c>
      <c r="G110" s="6">
        <v>279</v>
      </c>
      <c r="H110" s="6">
        <v>71</v>
      </c>
      <c r="I110" s="6" t="s">
        <v>15</v>
      </c>
      <c r="J110" s="6">
        <v>26</v>
      </c>
      <c r="K110" s="6" t="s">
        <v>27</v>
      </c>
      <c r="L110" s="7">
        <v>44975</v>
      </c>
      <c r="M110" s="6" t="s">
        <v>105</v>
      </c>
    </row>
    <row r="111" spans="1:13">
      <c r="A111" s="6" t="s">
        <v>128</v>
      </c>
      <c r="B111" s="8">
        <v>44975.748743715281</v>
      </c>
      <c r="C111" s="6" t="s">
        <v>23</v>
      </c>
      <c r="D111" s="6" t="s">
        <v>5</v>
      </c>
      <c r="E111" s="6" t="s">
        <v>4</v>
      </c>
      <c r="F111" s="6">
        <v>929</v>
      </c>
      <c r="G111" s="6">
        <v>113</v>
      </c>
      <c r="H111" s="6">
        <v>816</v>
      </c>
      <c r="I111" s="6" t="s">
        <v>19</v>
      </c>
      <c r="J111" s="6">
        <v>63</v>
      </c>
      <c r="K111" s="6" t="s">
        <v>27</v>
      </c>
      <c r="L111" s="7">
        <v>44975</v>
      </c>
      <c r="M111" s="6" t="s">
        <v>105</v>
      </c>
    </row>
    <row r="112" spans="1:13">
      <c r="A112" s="6" t="s">
        <v>127</v>
      </c>
      <c r="B112" s="8">
        <v>44976.195979895834</v>
      </c>
      <c r="C112" s="6" t="s">
        <v>23</v>
      </c>
      <c r="D112" s="6" t="s">
        <v>7</v>
      </c>
      <c r="E112" s="6" t="s">
        <v>12</v>
      </c>
      <c r="F112" s="6">
        <v>1079</v>
      </c>
      <c r="G112" s="6">
        <v>287</v>
      </c>
      <c r="H112" s="6">
        <v>792</v>
      </c>
      <c r="I112" s="6" t="s">
        <v>15</v>
      </c>
      <c r="J112" s="6">
        <v>69</v>
      </c>
      <c r="K112" s="6" t="s">
        <v>29</v>
      </c>
      <c r="L112" s="7">
        <v>44976</v>
      </c>
      <c r="M112" s="6" t="s">
        <v>105</v>
      </c>
    </row>
    <row r="113" spans="1:13">
      <c r="A113" s="6" t="s">
        <v>126</v>
      </c>
      <c r="B113" s="8">
        <v>44976.643216076387</v>
      </c>
      <c r="C113" s="6" t="s">
        <v>21</v>
      </c>
      <c r="D113" s="6" t="s">
        <v>3</v>
      </c>
      <c r="E113" s="6" t="s">
        <v>6</v>
      </c>
      <c r="F113" s="6">
        <v>1206</v>
      </c>
      <c r="G113" s="6">
        <v>150</v>
      </c>
      <c r="H113" s="6">
        <v>1056</v>
      </c>
      <c r="I113" s="6" t="s">
        <v>15</v>
      </c>
      <c r="J113" s="6">
        <v>27</v>
      </c>
      <c r="K113" s="6" t="s">
        <v>27</v>
      </c>
      <c r="L113" s="7">
        <v>44976</v>
      </c>
      <c r="M113" s="6" t="s">
        <v>105</v>
      </c>
    </row>
    <row r="114" spans="1:13">
      <c r="A114" s="6" t="s">
        <v>125</v>
      </c>
      <c r="B114" s="8">
        <v>44977.090452256947</v>
      </c>
      <c r="C114" s="6" t="s">
        <v>24</v>
      </c>
      <c r="D114" s="6" t="s">
        <v>5</v>
      </c>
      <c r="E114" s="6" t="s">
        <v>2</v>
      </c>
      <c r="F114" s="6">
        <v>1221</v>
      </c>
      <c r="G114" s="6">
        <v>126</v>
      </c>
      <c r="H114" s="6">
        <v>1095</v>
      </c>
      <c r="I114" s="6" t="s">
        <v>17</v>
      </c>
      <c r="J114" s="6">
        <v>37</v>
      </c>
      <c r="K114" s="6" t="s">
        <v>29</v>
      </c>
      <c r="L114" s="7">
        <v>44977</v>
      </c>
      <c r="M114" s="6" t="s">
        <v>105</v>
      </c>
    </row>
    <row r="115" spans="1:13">
      <c r="A115" s="6" t="s">
        <v>124</v>
      </c>
      <c r="B115" s="8">
        <v>44977.5376884375</v>
      </c>
      <c r="C115" s="6" t="s">
        <v>28</v>
      </c>
      <c r="D115" s="6" t="s">
        <v>5</v>
      </c>
      <c r="E115" s="6" t="s">
        <v>4</v>
      </c>
      <c r="F115" s="6">
        <v>652</v>
      </c>
      <c r="G115" s="6">
        <v>154</v>
      </c>
      <c r="H115" s="6">
        <v>498</v>
      </c>
      <c r="I115" s="6" t="s">
        <v>16</v>
      </c>
      <c r="J115" s="6">
        <v>39</v>
      </c>
      <c r="K115" s="6" t="s">
        <v>27</v>
      </c>
      <c r="L115" s="7">
        <v>44977</v>
      </c>
      <c r="M115" s="6" t="s">
        <v>105</v>
      </c>
    </row>
    <row r="116" spans="1:13">
      <c r="A116" s="6" t="s">
        <v>123</v>
      </c>
      <c r="B116" s="8">
        <v>44977.984924618053</v>
      </c>
      <c r="C116" s="6" t="s">
        <v>23</v>
      </c>
      <c r="D116" s="6" t="s">
        <v>1</v>
      </c>
      <c r="E116" s="6" t="s">
        <v>6</v>
      </c>
      <c r="F116" s="6">
        <v>556</v>
      </c>
      <c r="G116" s="6">
        <v>272</v>
      </c>
      <c r="H116" s="6">
        <v>284</v>
      </c>
      <c r="I116" s="6" t="s">
        <v>15</v>
      </c>
      <c r="J116" s="6">
        <v>49</v>
      </c>
      <c r="K116" s="6" t="s">
        <v>27</v>
      </c>
      <c r="L116" s="7">
        <v>44977</v>
      </c>
      <c r="M116" s="6" t="s">
        <v>105</v>
      </c>
    </row>
    <row r="117" spans="1:13">
      <c r="A117" s="6" t="s">
        <v>122</v>
      </c>
      <c r="B117" s="8">
        <v>44978.432160798613</v>
      </c>
      <c r="C117" s="6" t="s">
        <v>20</v>
      </c>
      <c r="D117" s="6" t="s">
        <v>9</v>
      </c>
      <c r="E117" s="6" t="s">
        <v>6</v>
      </c>
      <c r="F117" s="6">
        <v>954</v>
      </c>
      <c r="G117" s="6">
        <v>103</v>
      </c>
      <c r="H117" s="6">
        <v>851</v>
      </c>
      <c r="I117" s="6" t="s">
        <v>17</v>
      </c>
      <c r="J117" s="6">
        <v>55</v>
      </c>
      <c r="K117" s="6" t="s">
        <v>27</v>
      </c>
      <c r="L117" s="7">
        <v>44978</v>
      </c>
      <c r="M117" s="6" t="s">
        <v>105</v>
      </c>
    </row>
    <row r="118" spans="1:13">
      <c r="A118" s="6" t="s">
        <v>121</v>
      </c>
      <c r="B118" s="8">
        <v>44978.879396979166</v>
      </c>
      <c r="C118" s="6" t="s">
        <v>21</v>
      </c>
      <c r="D118" s="6" t="s">
        <v>7</v>
      </c>
      <c r="E118" s="6" t="s">
        <v>6</v>
      </c>
      <c r="F118" s="6">
        <v>248</v>
      </c>
      <c r="G118" s="6">
        <v>298</v>
      </c>
      <c r="H118" s="6">
        <v>-50</v>
      </c>
      <c r="I118" s="6" t="s">
        <v>19</v>
      </c>
      <c r="J118" s="6">
        <v>44</v>
      </c>
      <c r="K118" s="6" t="s">
        <v>29</v>
      </c>
      <c r="L118" s="7">
        <v>44978</v>
      </c>
      <c r="M118" s="6" t="s">
        <v>105</v>
      </c>
    </row>
    <row r="119" spans="1:13">
      <c r="A119" s="6" t="s">
        <v>120</v>
      </c>
      <c r="B119" s="8">
        <v>44979.326633171295</v>
      </c>
      <c r="C119" s="6" t="s">
        <v>22</v>
      </c>
      <c r="D119" s="6" t="s">
        <v>3</v>
      </c>
      <c r="E119" s="6" t="s">
        <v>12</v>
      </c>
      <c r="F119" s="6">
        <v>833</v>
      </c>
      <c r="G119" s="6">
        <v>245</v>
      </c>
      <c r="H119" s="6">
        <v>588</v>
      </c>
      <c r="I119" s="6" t="s">
        <v>15</v>
      </c>
      <c r="J119" s="6">
        <v>31</v>
      </c>
      <c r="K119" s="6" t="s">
        <v>27</v>
      </c>
      <c r="L119" s="7">
        <v>44979</v>
      </c>
      <c r="M119" s="6" t="s">
        <v>105</v>
      </c>
    </row>
    <row r="120" spans="1:13">
      <c r="A120" s="6" t="s">
        <v>119</v>
      </c>
      <c r="B120" s="8">
        <v>44979.773869351855</v>
      </c>
      <c r="C120" s="6" t="s">
        <v>24</v>
      </c>
      <c r="D120" s="6" t="s">
        <v>3</v>
      </c>
      <c r="E120" s="6" t="s">
        <v>12</v>
      </c>
      <c r="F120" s="6">
        <v>875</v>
      </c>
      <c r="G120" s="6">
        <v>175</v>
      </c>
      <c r="H120" s="6">
        <v>700</v>
      </c>
      <c r="I120" s="6" t="s">
        <v>19</v>
      </c>
      <c r="J120" s="6">
        <v>63</v>
      </c>
      <c r="K120" s="6" t="s">
        <v>27</v>
      </c>
      <c r="L120" s="7">
        <v>44979</v>
      </c>
      <c r="M120" s="6" t="s">
        <v>105</v>
      </c>
    </row>
    <row r="121" spans="1:13">
      <c r="A121" s="6" t="s">
        <v>118</v>
      </c>
      <c r="B121" s="8">
        <v>44980.221105532408</v>
      </c>
      <c r="C121" s="6" t="s">
        <v>28</v>
      </c>
      <c r="D121" s="6" t="s">
        <v>9</v>
      </c>
      <c r="E121" s="6" t="s">
        <v>6</v>
      </c>
      <c r="F121" s="6">
        <v>1110</v>
      </c>
      <c r="G121" s="6">
        <v>38</v>
      </c>
      <c r="H121" s="6">
        <v>1072</v>
      </c>
      <c r="I121" s="6" t="s">
        <v>17</v>
      </c>
      <c r="J121" s="6">
        <v>34</v>
      </c>
      <c r="K121" s="6" t="s">
        <v>29</v>
      </c>
      <c r="L121" s="7">
        <v>44980</v>
      </c>
      <c r="M121" s="6" t="s">
        <v>105</v>
      </c>
    </row>
    <row r="122" spans="1:13">
      <c r="A122" s="6" t="s">
        <v>117</v>
      </c>
      <c r="B122" s="8">
        <v>44980.668341712961</v>
      </c>
      <c r="C122" s="6" t="s">
        <v>20</v>
      </c>
      <c r="D122" s="6" t="s">
        <v>7</v>
      </c>
      <c r="E122" s="6" t="s">
        <v>8</v>
      </c>
      <c r="F122" s="6">
        <v>762</v>
      </c>
      <c r="G122" s="6">
        <v>169</v>
      </c>
      <c r="H122" s="6">
        <v>593</v>
      </c>
      <c r="I122" s="6" t="s">
        <v>17</v>
      </c>
      <c r="J122" s="6">
        <v>62</v>
      </c>
      <c r="K122" s="6" t="s">
        <v>29</v>
      </c>
      <c r="L122" s="7">
        <v>44980</v>
      </c>
      <c r="M122" s="6" t="s">
        <v>105</v>
      </c>
    </row>
    <row r="123" spans="1:13">
      <c r="A123" s="6" t="s">
        <v>116</v>
      </c>
      <c r="B123" s="8">
        <v>44981.115577893521</v>
      </c>
      <c r="C123" s="6" t="s">
        <v>24</v>
      </c>
      <c r="D123" s="6" t="s">
        <v>1</v>
      </c>
      <c r="E123" s="6" t="s">
        <v>10</v>
      </c>
      <c r="F123" s="6">
        <v>792</v>
      </c>
      <c r="G123" s="6">
        <v>246</v>
      </c>
      <c r="H123" s="6">
        <v>546</v>
      </c>
      <c r="I123" s="6" t="s">
        <v>17</v>
      </c>
      <c r="J123" s="6">
        <v>39</v>
      </c>
      <c r="K123" s="6" t="s">
        <v>29</v>
      </c>
      <c r="L123" s="7">
        <v>44981</v>
      </c>
      <c r="M123" s="6" t="s">
        <v>105</v>
      </c>
    </row>
    <row r="124" spans="1:13">
      <c r="A124" s="6" t="s">
        <v>115</v>
      </c>
      <c r="B124" s="8">
        <v>44981.562814074074</v>
      </c>
      <c r="C124" s="6" t="s">
        <v>20</v>
      </c>
      <c r="D124" s="6" t="s">
        <v>3</v>
      </c>
      <c r="E124" s="6" t="s">
        <v>12</v>
      </c>
      <c r="F124" s="6">
        <v>1178</v>
      </c>
      <c r="G124" s="6">
        <v>25</v>
      </c>
      <c r="H124" s="6">
        <v>1153</v>
      </c>
      <c r="I124" s="6" t="s">
        <v>17</v>
      </c>
      <c r="J124" s="6">
        <v>36</v>
      </c>
      <c r="K124" s="6" t="s">
        <v>29</v>
      </c>
      <c r="L124" s="7">
        <v>44981</v>
      </c>
      <c r="M124" s="6" t="s">
        <v>105</v>
      </c>
    </row>
    <row r="125" spans="1:13">
      <c r="A125" s="6" t="s">
        <v>114</v>
      </c>
      <c r="B125" s="8">
        <v>44982.010050254627</v>
      </c>
      <c r="C125" s="6" t="s">
        <v>24</v>
      </c>
      <c r="D125" s="6" t="s">
        <v>7</v>
      </c>
      <c r="E125" s="6" t="s">
        <v>8</v>
      </c>
      <c r="F125" s="6">
        <v>1391</v>
      </c>
      <c r="G125" s="6">
        <v>12</v>
      </c>
      <c r="H125" s="6">
        <v>1379</v>
      </c>
      <c r="I125" s="6" t="s">
        <v>17</v>
      </c>
      <c r="J125" s="6">
        <v>27</v>
      </c>
      <c r="K125" s="6" t="s">
        <v>29</v>
      </c>
      <c r="L125" s="7">
        <v>44982</v>
      </c>
      <c r="M125" s="6" t="s">
        <v>105</v>
      </c>
    </row>
    <row r="126" spans="1:13">
      <c r="A126" s="6" t="s">
        <v>113</v>
      </c>
      <c r="B126" s="8">
        <v>44982.457286435187</v>
      </c>
      <c r="C126" s="6" t="s">
        <v>26</v>
      </c>
      <c r="D126" s="6" t="s">
        <v>1</v>
      </c>
      <c r="E126" s="6" t="s">
        <v>8</v>
      </c>
      <c r="F126" s="6">
        <v>652</v>
      </c>
      <c r="G126" s="6">
        <v>35</v>
      </c>
      <c r="H126" s="6">
        <v>617</v>
      </c>
      <c r="I126" s="6" t="s">
        <v>16</v>
      </c>
      <c r="J126" s="6">
        <v>73</v>
      </c>
      <c r="K126" s="6" t="s">
        <v>29</v>
      </c>
      <c r="L126" s="7">
        <v>44982</v>
      </c>
      <c r="M126" s="6" t="s">
        <v>105</v>
      </c>
    </row>
    <row r="127" spans="1:13">
      <c r="A127" s="6" t="s">
        <v>112</v>
      </c>
      <c r="B127" s="8">
        <v>44982.90452261574</v>
      </c>
      <c r="C127" s="6" t="s">
        <v>21</v>
      </c>
      <c r="D127" s="6" t="s">
        <v>1</v>
      </c>
      <c r="E127" s="6" t="s">
        <v>2</v>
      </c>
      <c r="F127" s="6">
        <v>916</v>
      </c>
      <c r="G127" s="6">
        <v>172</v>
      </c>
      <c r="H127" s="6">
        <v>744</v>
      </c>
      <c r="I127" s="6" t="s">
        <v>19</v>
      </c>
      <c r="J127" s="6">
        <v>33</v>
      </c>
      <c r="K127" s="6" t="s">
        <v>27</v>
      </c>
      <c r="L127" s="7">
        <v>44982</v>
      </c>
      <c r="M127" s="6" t="s">
        <v>105</v>
      </c>
    </row>
    <row r="128" spans="1:13">
      <c r="A128" s="6" t="s">
        <v>111</v>
      </c>
      <c r="B128" s="8">
        <v>44983.3517587963</v>
      </c>
      <c r="C128" s="6" t="s">
        <v>26</v>
      </c>
      <c r="D128" s="6" t="s">
        <v>3</v>
      </c>
      <c r="E128" s="6" t="s">
        <v>10</v>
      </c>
      <c r="F128" s="6">
        <v>547</v>
      </c>
      <c r="G128" s="6">
        <v>19</v>
      </c>
      <c r="H128" s="6">
        <v>528</v>
      </c>
      <c r="I128" s="6" t="s">
        <v>16</v>
      </c>
      <c r="J128" s="6">
        <v>63</v>
      </c>
      <c r="K128" s="6" t="s">
        <v>29</v>
      </c>
      <c r="L128" s="7">
        <v>44983</v>
      </c>
      <c r="M128" s="6" t="s">
        <v>105</v>
      </c>
    </row>
    <row r="129" spans="1:13">
      <c r="A129" s="6" t="s">
        <v>110</v>
      </c>
      <c r="B129" s="8">
        <v>44983.798994976853</v>
      </c>
      <c r="C129" s="6" t="s">
        <v>23</v>
      </c>
      <c r="D129" s="6" t="s">
        <v>9</v>
      </c>
      <c r="E129" s="6" t="s">
        <v>6</v>
      </c>
      <c r="F129" s="6">
        <v>1020</v>
      </c>
      <c r="G129" s="6">
        <v>263</v>
      </c>
      <c r="H129" s="6">
        <v>757</v>
      </c>
      <c r="I129" s="6" t="s">
        <v>19</v>
      </c>
      <c r="J129" s="6">
        <v>50</v>
      </c>
      <c r="K129" s="6" t="s">
        <v>27</v>
      </c>
      <c r="L129" s="7">
        <v>44983</v>
      </c>
      <c r="M129" s="6" t="s">
        <v>105</v>
      </c>
    </row>
    <row r="130" spans="1:13">
      <c r="A130" s="6" t="s">
        <v>109</v>
      </c>
      <c r="B130" s="8">
        <v>44984.246231157405</v>
      </c>
      <c r="C130" s="6" t="s">
        <v>23</v>
      </c>
      <c r="D130" s="6" t="s">
        <v>11</v>
      </c>
      <c r="E130" s="6" t="s">
        <v>2</v>
      </c>
      <c r="F130" s="6">
        <v>944</v>
      </c>
      <c r="G130" s="6">
        <v>141</v>
      </c>
      <c r="H130" s="6">
        <v>803</v>
      </c>
      <c r="I130" s="6" t="s">
        <v>15</v>
      </c>
      <c r="J130" s="6">
        <v>26</v>
      </c>
      <c r="K130" s="6" t="s">
        <v>29</v>
      </c>
      <c r="L130" s="7">
        <v>44984</v>
      </c>
      <c r="M130" s="6" t="s">
        <v>105</v>
      </c>
    </row>
    <row r="131" spans="1:13">
      <c r="A131" s="6" t="s">
        <v>108</v>
      </c>
      <c r="B131" s="8">
        <v>44984.693467337966</v>
      </c>
      <c r="C131" s="6" t="s">
        <v>20</v>
      </c>
      <c r="D131" s="6" t="s">
        <v>3</v>
      </c>
      <c r="E131" s="6" t="s">
        <v>2</v>
      </c>
      <c r="F131" s="6">
        <v>542</v>
      </c>
      <c r="G131" s="6">
        <v>142</v>
      </c>
      <c r="H131" s="6">
        <v>400</v>
      </c>
      <c r="I131" s="6" t="s">
        <v>15</v>
      </c>
      <c r="J131" s="6">
        <v>55</v>
      </c>
      <c r="K131" s="6" t="s">
        <v>27</v>
      </c>
      <c r="L131" s="7">
        <v>44984</v>
      </c>
      <c r="M131" s="6" t="s">
        <v>105</v>
      </c>
    </row>
    <row r="132" spans="1:13">
      <c r="A132" s="6" t="s">
        <v>107</v>
      </c>
      <c r="B132" s="8">
        <v>44985.140703518518</v>
      </c>
      <c r="C132" s="6" t="s">
        <v>21</v>
      </c>
      <c r="D132" s="6" t="s">
        <v>5</v>
      </c>
      <c r="E132" s="6" t="s">
        <v>8</v>
      </c>
      <c r="F132" s="6">
        <v>356</v>
      </c>
      <c r="G132" s="6">
        <v>91</v>
      </c>
      <c r="H132" s="6">
        <v>265</v>
      </c>
      <c r="I132" s="6" t="s">
        <v>19</v>
      </c>
      <c r="J132" s="6">
        <v>33</v>
      </c>
      <c r="K132" s="6" t="s">
        <v>27</v>
      </c>
      <c r="L132" s="7">
        <v>44985</v>
      </c>
      <c r="M132" s="6" t="s">
        <v>105</v>
      </c>
    </row>
    <row r="133" spans="1:13">
      <c r="A133" s="6" t="s">
        <v>106</v>
      </c>
      <c r="B133" s="8">
        <v>44985.587939699071</v>
      </c>
      <c r="C133" s="6" t="s">
        <v>26</v>
      </c>
      <c r="D133" s="6" t="s">
        <v>5</v>
      </c>
      <c r="E133" s="6" t="s">
        <v>8</v>
      </c>
      <c r="F133" s="6">
        <v>1188</v>
      </c>
      <c r="G133" s="6">
        <v>287</v>
      </c>
      <c r="H133" s="6">
        <v>901</v>
      </c>
      <c r="I133" s="6" t="s">
        <v>15</v>
      </c>
      <c r="J133" s="6">
        <v>26</v>
      </c>
      <c r="K133" s="6" t="s">
        <v>27</v>
      </c>
      <c r="L133" s="7">
        <v>44985</v>
      </c>
      <c r="M133" s="6" t="s">
        <v>105</v>
      </c>
    </row>
    <row r="134" spans="1:13">
      <c r="A134" s="6" t="s">
        <v>104</v>
      </c>
      <c r="B134" s="8">
        <v>44986.035175879631</v>
      </c>
      <c r="C134" s="6" t="s">
        <v>23</v>
      </c>
      <c r="D134" s="6" t="s">
        <v>1</v>
      </c>
      <c r="E134" s="6" t="s">
        <v>8</v>
      </c>
      <c r="F134" s="6">
        <v>1041</v>
      </c>
      <c r="G134" s="6">
        <v>214</v>
      </c>
      <c r="H134" s="6">
        <v>827</v>
      </c>
      <c r="I134" s="6" t="s">
        <v>15</v>
      </c>
      <c r="J134" s="6">
        <v>23</v>
      </c>
      <c r="K134" s="6" t="s">
        <v>29</v>
      </c>
      <c r="L134" s="7">
        <v>44986</v>
      </c>
      <c r="M134" s="6" t="s">
        <v>36</v>
      </c>
    </row>
    <row r="135" spans="1:13">
      <c r="A135" s="6" t="s">
        <v>103</v>
      </c>
      <c r="B135" s="8">
        <v>44986.482412060184</v>
      </c>
      <c r="C135" s="6" t="s">
        <v>23</v>
      </c>
      <c r="D135" s="6" t="s">
        <v>11</v>
      </c>
      <c r="E135" s="6" t="s">
        <v>6</v>
      </c>
      <c r="F135" s="6">
        <v>1013</v>
      </c>
      <c r="G135" s="6">
        <v>50</v>
      </c>
      <c r="H135" s="6">
        <v>963</v>
      </c>
      <c r="I135" s="6" t="s">
        <v>15</v>
      </c>
      <c r="J135" s="6">
        <v>21</v>
      </c>
      <c r="K135" s="6" t="s">
        <v>29</v>
      </c>
      <c r="L135" s="7">
        <v>44986</v>
      </c>
      <c r="M135" s="6" t="s">
        <v>36</v>
      </c>
    </row>
    <row r="136" spans="1:13">
      <c r="A136" s="6" t="s">
        <v>102</v>
      </c>
      <c r="B136" s="8">
        <v>44986.929648240737</v>
      </c>
      <c r="C136" s="6" t="s">
        <v>26</v>
      </c>
      <c r="D136" s="6" t="s">
        <v>3</v>
      </c>
      <c r="E136" s="6" t="s">
        <v>6</v>
      </c>
      <c r="F136" s="6">
        <v>892</v>
      </c>
      <c r="G136" s="6">
        <v>152</v>
      </c>
      <c r="H136" s="6">
        <v>740</v>
      </c>
      <c r="I136" s="6" t="s">
        <v>16</v>
      </c>
      <c r="J136" s="6">
        <v>42</v>
      </c>
      <c r="K136" s="6" t="s">
        <v>29</v>
      </c>
      <c r="L136" s="7">
        <v>44986</v>
      </c>
      <c r="M136" s="6" t="s">
        <v>36</v>
      </c>
    </row>
    <row r="137" spans="1:13">
      <c r="A137" s="6" t="s">
        <v>101</v>
      </c>
      <c r="B137" s="8">
        <v>44987.376884421297</v>
      </c>
      <c r="C137" s="6" t="s">
        <v>18</v>
      </c>
      <c r="D137" s="6" t="s">
        <v>5</v>
      </c>
      <c r="E137" s="6" t="s">
        <v>2</v>
      </c>
      <c r="F137" s="6">
        <v>1414</v>
      </c>
      <c r="G137" s="6">
        <v>185</v>
      </c>
      <c r="H137" s="6">
        <v>1229</v>
      </c>
      <c r="I137" s="6" t="s">
        <v>16</v>
      </c>
      <c r="J137" s="6">
        <v>28</v>
      </c>
      <c r="K137" s="6" t="s">
        <v>29</v>
      </c>
      <c r="L137" s="7">
        <v>44987</v>
      </c>
      <c r="M137" s="6" t="s">
        <v>36</v>
      </c>
    </row>
    <row r="138" spans="1:13">
      <c r="A138" s="6" t="s">
        <v>100</v>
      </c>
      <c r="B138" s="8">
        <v>44987.82412060185</v>
      </c>
      <c r="C138" s="6" t="s">
        <v>26</v>
      </c>
      <c r="D138" s="6" t="s">
        <v>5</v>
      </c>
      <c r="E138" s="6" t="s">
        <v>2</v>
      </c>
      <c r="F138" s="6">
        <v>713</v>
      </c>
      <c r="G138" s="6">
        <v>62</v>
      </c>
      <c r="H138" s="6">
        <v>651</v>
      </c>
      <c r="I138" s="6" t="s">
        <v>17</v>
      </c>
      <c r="J138" s="6">
        <v>45</v>
      </c>
      <c r="K138" s="6" t="s">
        <v>27</v>
      </c>
      <c r="L138" s="7">
        <v>44987</v>
      </c>
      <c r="M138" s="6" t="s">
        <v>36</v>
      </c>
    </row>
    <row r="139" spans="1:13">
      <c r="A139" s="6" t="s">
        <v>99</v>
      </c>
      <c r="B139" s="8">
        <v>44988.27135678241</v>
      </c>
      <c r="C139" s="6" t="s">
        <v>20</v>
      </c>
      <c r="D139" s="6" t="s">
        <v>3</v>
      </c>
      <c r="E139" s="6" t="s">
        <v>12</v>
      </c>
      <c r="F139" s="6">
        <v>1170</v>
      </c>
      <c r="G139" s="6">
        <v>189</v>
      </c>
      <c r="H139" s="6">
        <v>981</v>
      </c>
      <c r="I139" s="6" t="s">
        <v>19</v>
      </c>
      <c r="J139" s="6">
        <v>66</v>
      </c>
      <c r="K139" s="6" t="s">
        <v>29</v>
      </c>
      <c r="L139" s="7">
        <v>44988</v>
      </c>
      <c r="M139" s="6" t="s">
        <v>36</v>
      </c>
    </row>
    <row r="140" spans="1:13">
      <c r="A140" s="6" t="s">
        <v>98</v>
      </c>
      <c r="B140" s="8">
        <v>44988.718592962963</v>
      </c>
      <c r="C140" s="6" t="s">
        <v>20</v>
      </c>
      <c r="D140" s="6" t="s">
        <v>7</v>
      </c>
      <c r="E140" s="6" t="s">
        <v>12</v>
      </c>
      <c r="F140" s="6">
        <v>245</v>
      </c>
      <c r="G140" s="6">
        <v>124</v>
      </c>
      <c r="H140" s="6">
        <v>121</v>
      </c>
      <c r="I140" s="6" t="s">
        <v>15</v>
      </c>
      <c r="J140" s="6">
        <v>33</v>
      </c>
      <c r="K140" s="6" t="s">
        <v>29</v>
      </c>
      <c r="L140" s="7">
        <v>44988</v>
      </c>
      <c r="M140" s="6" t="s">
        <v>36</v>
      </c>
    </row>
    <row r="141" spans="1:13">
      <c r="A141" s="6" t="s">
        <v>97</v>
      </c>
      <c r="B141" s="8">
        <v>44989.165829143516</v>
      </c>
      <c r="C141" s="6" t="s">
        <v>28</v>
      </c>
      <c r="D141" s="6" t="s">
        <v>1</v>
      </c>
      <c r="E141" s="6" t="s">
        <v>8</v>
      </c>
      <c r="F141" s="6">
        <v>634</v>
      </c>
      <c r="G141" s="6">
        <v>149</v>
      </c>
      <c r="H141" s="6">
        <v>485</v>
      </c>
      <c r="I141" s="6" t="s">
        <v>19</v>
      </c>
      <c r="J141" s="6">
        <v>72</v>
      </c>
      <c r="K141" s="6" t="s">
        <v>29</v>
      </c>
      <c r="L141" s="7">
        <v>44989</v>
      </c>
      <c r="M141" s="6" t="s">
        <v>36</v>
      </c>
    </row>
    <row r="142" spans="1:13">
      <c r="A142" s="6" t="s">
        <v>96</v>
      </c>
      <c r="B142" s="8">
        <v>44989.613065324076</v>
      </c>
      <c r="C142" s="6" t="s">
        <v>18</v>
      </c>
      <c r="D142" s="6" t="s">
        <v>3</v>
      </c>
      <c r="E142" s="6" t="s">
        <v>6</v>
      </c>
      <c r="F142" s="6">
        <v>380</v>
      </c>
      <c r="G142" s="6">
        <v>57</v>
      </c>
      <c r="H142" s="6">
        <v>323</v>
      </c>
      <c r="I142" s="6" t="s">
        <v>17</v>
      </c>
      <c r="J142" s="6">
        <v>61</v>
      </c>
      <c r="K142" s="6" t="s">
        <v>27</v>
      </c>
      <c r="L142" s="7">
        <v>44989</v>
      </c>
      <c r="M142" s="6" t="s">
        <v>36</v>
      </c>
    </row>
    <row r="143" spans="1:13">
      <c r="A143" s="6" t="s">
        <v>95</v>
      </c>
      <c r="B143" s="8">
        <v>44990.060301504629</v>
      </c>
      <c r="C143" s="6" t="s">
        <v>24</v>
      </c>
      <c r="D143" s="6" t="s">
        <v>7</v>
      </c>
      <c r="E143" s="6" t="s">
        <v>6</v>
      </c>
      <c r="F143" s="6">
        <v>898</v>
      </c>
      <c r="G143" s="6">
        <v>179</v>
      </c>
      <c r="H143" s="6">
        <v>719</v>
      </c>
      <c r="I143" s="6" t="s">
        <v>17</v>
      </c>
      <c r="J143" s="6">
        <v>30</v>
      </c>
      <c r="K143" s="6" t="s">
        <v>29</v>
      </c>
      <c r="L143" s="7">
        <v>44990</v>
      </c>
      <c r="M143" s="6" t="s">
        <v>36</v>
      </c>
    </row>
    <row r="144" spans="1:13">
      <c r="A144" s="6" t="s">
        <v>94</v>
      </c>
      <c r="B144" s="8">
        <v>44990.507537685182</v>
      </c>
      <c r="C144" s="6" t="s">
        <v>21</v>
      </c>
      <c r="D144" s="6" t="s">
        <v>1</v>
      </c>
      <c r="E144" s="6" t="s">
        <v>2</v>
      </c>
      <c r="F144" s="6">
        <v>1344</v>
      </c>
      <c r="G144" s="6">
        <v>169</v>
      </c>
      <c r="H144" s="6">
        <v>1175</v>
      </c>
      <c r="I144" s="6" t="s">
        <v>15</v>
      </c>
      <c r="J144" s="6">
        <v>67</v>
      </c>
      <c r="K144" s="6" t="s">
        <v>29</v>
      </c>
      <c r="L144" s="7">
        <v>44990</v>
      </c>
      <c r="M144" s="6" t="s">
        <v>36</v>
      </c>
    </row>
    <row r="145" spans="1:13">
      <c r="A145" s="6" t="s">
        <v>93</v>
      </c>
      <c r="B145" s="8">
        <v>44990.954773865742</v>
      </c>
      <c r="C145" s="6" t="s">
        <v>20</v>
      </c>
      <c r="D145" s="6" t="s">
        <v>11</v>
      </c>
      <c r="E145" s="6" t="s">
        <v>10</v>
      </c>
      <c r="F145" s="6">
        <v>690</v>
      </c>
      <c r="G145" s="6">
        <v>270</v>
      </c>
      <c r="H145" s="6">
        <v>420</v>
      </c>
      <c r="I145" s="6" t="s">
        <v>17</v>
      </c>
      <c r="J145" s="6">
        <v>19</v>
      </c>
      <c r="K145" s="6" t="s">
        <v>29</v>
      </c>
      <c r="L145" s="7">
        <v>44990</v>
      </c>
      <c r="M145" s="6" t="s">
        <v>36</v>
      </c>
    </row>
    <row r="146" spans="1:13">
      <c r="A146" s="6" t="s">
        <v>92</v>
      </c>
      <c r="B146" s="8">
        <v>44991.402010046295</v>
      </c>
      <c r="C146" s="6" t="s">
        <v>18</v>
      </c>
      <c r="D146" s="6" t="s">
        <v>9</v>
      </c>
      <c r="E146" s="6" t="s">
        <v>8</v>
      </c>
      <c r="F146" s="6">
        <v>1209</v>
      </c>
      <c r="G146" s="6">
        <v>53</v>
      </c>
      <c r="H146" s="6">
        <v>1156</v>
      </c>
      <c r="I146" s="6" t="s">
        <v>15</v>
      </c>
      <c r="J146" s="6">
        <v>49</v>
      </c>
      <c r="K146" s="6" t="s">
        <v>29</v>
      </c>
      <c r="L146" s="7">
        <v>44991</v>
      </c>
      <c r="M146" s="6" t="s">
        <v>36</v>
      </c>
    </row>
    <row r="147" spans="1:13">
      <c r="A147" s="6" t="s">
        <v>91</v>
      </c>
      <c r="B147" s="8">
        <v>44991.849246226855</v>
      </c>
      <c r="C147" s="6" t="s">
        <v>28</v>
      </c>
      <c r="D147" s="6" t="s">
        <v>1</v>
      </c>
      <c r="E147" s="6" t="s">
        <v>12</v>
      </c>
      <c r="F147" s="6">
        <v>674</v>
      </c>
      <c r="G147" s="6">
        <v>100</v>
      </c>
      <c r="H147" s="6">
        <v>574</v>
      </c>
      <c r="I147" s="6" t="s">
        <v>17</v>
      </c>
      <c r="J147" s="6">
        <v>26</v>
      </c>
      <c r="K147" s="6" t="s">
        <v>29</v>
      </c>
      <c r="L147" s="7">
        <v>44991</v>
      </c>
      <c r="M147" s="6" t="s">
        <v>36</v>
      </c>
    </row>
    <row r="148" spans="1:13">
      <c r="A148" s="6" t="s">
        <v>90</v>
      </c>
      <c r="B148" s="8">
        <v>44992.296482407408</v>
      </c>
      <c r="C148" s="6" t="s">
        <v>24</v>
      </c>
      <c r="D148" s="6" t="s">
        <v>11</v>
      </c>
      <c r="E148" s="6" t="s">
        <v>10</v>
      </c>
      <c r="F148" s="6">
        <v>1333</v>
      </c>
      <c r="G148" s="6">
        <v>263</v>
      </c>
      <c r="H148" s="6">
        <v>1070</v>
      </c>
      <c r="I148" s="6" t="s">
        <v>17</v>
      </c>
      <c r="J148" s="6">
        <v>39</v>
      </c>
      <c r="K148" s="6" t="s">
        <v>29</v>
      </c>
      <c r="L148" s="7">
        <v>44992</v>
      </c>
      <c r="M148" s="6" t="s">
        <v>36</v>
      </c>
    </row>
    <row r="149" spans="1:13">
      <c r="A149" s="6" t="s">
        <v>89</v>
      </c>
      <c r="B149" s="8">
        <v>44992.743718587961</v>
      </c>
      <c r="C149" s="6" t="s">
        <v>22</v>
      </c>
      <c r="D149" s="6" t="s">
        <v>9</v>
      </c>
      <c r="E149" s="6" t="s">
        <v>6</v>
      </c>
      <c r="F149" s="6">
        <v>1416</v>
      </c>
      <c r="G149" s="6">
        <v>52</v>
      </c>
      <c r="H149" s="6">
        <v>1364</v>
      </c>
      <c r="I149" s="6" t="s">
        <v>15</v>
      </c>
      <c r="J149" s="6">
        <v>66</v>
      </c>
      <c r="K149" s="6" t="s">
        <v>29</v>
      </c>
      <c r="L149" s="7">
        <v>44992</v>
      </c>
      <c r="M149" s="6" t="s">
        <v>36</v>
      </c>
    </row>
    <row r="150" spans="1:13">
      <c r="A150" s="6" t="s">
        <v>88</v>
      </c>
      <c r="B150" s="8">
        <v>44993.190954768521</v>
      </c>
      <c r="C150" s="6" t="s">
        <v>28</v>
      </c>
      <c r="D150" s="6" t="s">
        <v>5</v>
      </c>
      <c r="E150" s="6" t="s">
        <v>12</v>
      </c>
      <c r="F150" s="6">
        <v>1259</v>
      </c>
      <c r="G150" s="6">
        <v>59</v>
      </c>
      <c r="H150" s="6">
        <v>1200</v>
      </c>
      <c r="I150" s="6" t="s">
        <v>17</v>
      </c>
      <c r="J150" s="6">
        <v>73</v>
      </c>
      <c r="K150" s="6" t="s">
        <v>27</v>
      </c>
      <c r="L150" s="7">
        <v>44993</v>
      </c>
      <c r="M150" s="6" t="s">
        <v>36</v>
      </c>
    </row>
    <row r="151" spans="1:13">
      <c r="A151" s="6" t="s">
        <v>87</v>
      </c>
      <c r="B151" s="8">
        <v>44993.638190949074</v>
      </c>
      <c r="C151" s="6" t="s">
        <v>21</v>
      </c>
      <c r="D151" s="6" t="s">
        <v>5</v>
      </c>
      <c r="E151" s="6" t="s">
        <v>8</v>
      </c>
      <c r="F151" s="6">
        <v>727</v>
      </c>
      <c r="G151" s="6">
        <v>107</v>
      </c>
      <c r="H151" s="6">
        <v>620</v>
      </c>
      <c r="I151" s="6" t="s">
        <v>17</v>
      </c>
      <c r="J151" s="6">
        <v>35</v>
      </c>
      <c r="K151" s="6" t="s">
        <v>27</v>
      </c>
      <c r="L151" s="7">
        <v>44993</v>
      </c>
      <c r="M151" s="6" t="s">
        <v>36</v>
      </c>
    </row>
    <row r="152" spans="1:13">
      <c r="A152" s="6" t="s">
        <v>86</v>
      </c>
      <c r="B152" s="8">
        <v>44994.085427141203</v>
      </c>
      <c r="C152" s="6" t="s">
        <v>23</v>
      </c>
      <c r="D152" s="6" t="s">
        <v>5</v>
      </c>
      <c r="E152" s="6" t="s">
        <v>6</v>
      </c>
      <c r="F152" s="6">
        <v>831</v>
      </c>
      <c r="G152" s="6">
        <v>4</v>
      </c>
      <c r="H152" s="6">
        <v>827</v>
      </c>
      <c r="I152" s="6" t="s">
        <v>17</v>
      </c>
      <c r="J152" s="6">
        <v>50</v>
      </c>
      <c r="K152" s="6" t="s">
        <v>29</v>
      </c>
      <c r="L152" s="7">
        <v>44994</v>
      </c>
      <c r="M152" s="6" t="s">
        <v>36</v>
      </c>
    </row>
    <row r="153" spans="1:13">
      <c r="A153" s="6" t="s">
        <v>85</v>
      </c>
      <c r="B153" s="8">
        <v>44994.532663321763</v>
      </c>
      <c r="C153" s="6" t="s">
        <v>22</v>
      </c>
      <c r="D153" s="6" t="s">
        <v>1</v>
      </c>
      <c r="E153" s="6" t="s">
        <v>8</v>
      </c>
      <c r="F153" s="6">
        <v>706</v>
      </c>
      <c r="G153" s="6">
        <v>102</v>
      </c>
      <c r="H153" s="6">
        <v>604</v>
      </c>
      <c r="I153" s="6" t="s">
        <v>19</v>
      </c>
      <c r="J153" s="6">
        <v>67</v>
      </c>
      <c r="K153" s="6" t="s">
        <v>27</v>
      </c>
      <c r="L153" s="7">
        <v>44994</v>
      </c>
      <c r="M153" s="6" t="s">
        <v>36</v>
      </c>
    </row>
    <row r="154" spans="1:13">
      <c r="A154" s="6" t="s">
        <v>84</v>
      </c>
      <c r="B154" s="8">
        <v>44994.979899502316</v>
      </c>
      <c r="C154" s="6" t="s">
        <v>18</v>
      </c>
      <c r="D154" s="6" t="s">
        <v>7</v>
      </c>
      <c r="E154" s="6" t="s">
        <v>2</v>
      </c>
      <c r="F154" s="6">
        <v>1162</v>
      </c>
      <c r="G154" s="6">
        <v>195</v>
      </c>
      <c r="H154" s="6">
        <v>967</v>
      </c>
      <c r="I154" s="6" t="s">
        <v>16</v>
      </c>
      <c r="J154" s="6">
        <v>37</v>
      </c>
      <c r="K154" s="6" t="s">
        <v>29</v>
      </c>
      <c r="L154" s="7">
        <v>44994</v>
      </c>
      <c r="M154" s="6" t="s">
        <v>36</v>
      </c>
    </row>
    <row r="155" spans="1:13">
      <c r="A155" s="6" t="s">
        <v>83</v>
      </c>
      <c r="B155" s="8">
        <v>44995.427135682869</v>
      </c>
      <c r="C155" s="6" t="s">
        <v>24</v>
      </c>
      <c r="D155" s="6" t="s">
        <v>9</v>
      </c>
      <c r="E155" s="6" t="s">
        <v>10</v>
      </c>
      <c r="F155" s="6">
        <v>795</v>
      </c>
      <c r="G155" s="6">
        <v>261</v>
      </c>
      <c r="H155" s="6">
        <v>534</v>
      </c>
      <c r="I155" s="6" t="s">
        <v>19</v>
      </c>
      <c r="J155" s="6">
        <v>30</v>
      </c>
      <c r="K155" s="6" t="s">
        <v>27</v>
      </c>
      <c r="L155" s="7">
        <v>44995</v>
      </c>
      <c r="M155" s="6" t="s">
        <v>36</v>
      </c>
    </row>
    <row r="156" spans="1:13">
      <c r="A156" s="6" t="s">
        <v>82</v>
      </c>
      <c r="B156" s="8">
        <v>44995.874371863429</v>
      </c>
      <c r="C156" s="6" t="s">
        <v>26</v>
      </c>
      <c r="D156" s="6" t="s">
        <v>5</v>
      </c>
      <c r="E156" s="6" t="s">
        <v>10</v>
      </c>
      <c r="F156" s="6">
        <v>945</v>
      </c>
      <c r="G156" s="6">
        <v>46</v>
      </c>
      <c r="H156" s="6">
        <v>899</v>
      </c>
      <c r="I156" s="6" t="s">
        <v>17</v>
      </c>
      <c r="J156" s="6">
        <v>71</v>
      </c>
      <c r="K156" s="6" t="s">
        <v>29</v>
      </c>
      <c r="L156" s="7">
        <v>44995</v>
      </c>
      <c r="M156" s="6" t="s">
        <v>36</v>
      </c>
    </row>
    <row r="157" spans="1:13">
      <c r="A157" s="6" t="s">
        <v>81</v>
      </c>
      <c r="B157" s="8">
        <v>44996.321608043982</v>
      </c>
      <c r="C157" s="6" t="s">
        <v>28</v>
      </c>
      <c r="D157" s="6" t="s">
        <v>3</v>
      </c>
      <c r="E157" s="6" t="s">
        <v>10</v>
      </c>
      <c r="F157" s="6">
        <v>1201</v>
      </c>
      <c r="G157" s="6">
        <v>143</v>
      </c>
      <c r="H157" s="6">
        <v>1058</v>
      </c>
      <c r="I157" s="6" t="s">
        <v>16</v>
      </c>
      <c r="J157" s="6">
        <v>53</v>
      </c>
      <c r="K157" s="6" t="s">
        <v>29</v>
      </c>
      <c r="L157" s="7">
        <v>44996</v>
      </c>
      <c r="M157" s="6" t="s">
        <v>36</v>
      </c>
    </row>
    <row r="158" spans="1:13">
      <c r="A158" s="6" t="s">
        <v>80</v>
      </c>
      <c r="B158" s="8">
        <v>44996.768844224534</v>
      </c>
      <c r="C158" s="6" t="s">
        <v>21</v>
      </c>
      <c r="D158" s="6" t="s">
        <v>9</v>
      </c>
      <c r="E158" s="6" t="s">
        <v>4</v>
      </c>
      <c r="F158" s="6">
        <v>1404</v>
      </c>
      <c r="G158" s="6">
        <v>268</v>
      </c>
      <c r="H158" s="6">
        <v>1136</v>
      </c>
      <c r="I158" s="6" t="s">
        <v>19</v>
      </c>
      <c r="J158" s="6">
        <v>59</v>
      </c>
      <c r="K158" s="6" t="s">
        <v>29</v>
      </c>
      <c r="L158" s="7">
        <v>44996</v>
      </c>
      <c r="M158" s="6" t="s">
        <v>36</v>
      </c>
    </row>
    <row r="159" spans="1:13">
      <c r="A159" s="6" t="s">
        <v>79</v>
      </c>
      <c r="B159" s="8">
        <v>44997.216080405095</v>
      </c>
      <c r="C159" s="6" t="s">
        <v>24</v>
      </c>
      <c r="D159" s="6" t="s">
        <v>9</v>
      </c>
      <c r="E159" s="6" t="s">
        <v>8</v>
      </c>
      <c r="F159" s="6">
        <v>339</v>
      </c>
      <c r="G159" s="6">
        <v>123</v>
      </c>
      <c r="H159" s="6">
        <v>216</v>
      </c>
      <c r="I159" s="6" t="s">
        <v>19</v>
      </c>
      <c r="J159" s="6">
        <v>67</v>
      </c>
      <c r="K159" s="6" t="s">
        <v>29</v>
      </c>
      <c r="L159" s="7">
        <v>44997</v>
      </c>
      <c r="M159" s="6" t="s">
        <v>36</v>
      </c>
    </row>
    <row r="160" spans="1:13">
      <c r="A160" s="6" t="s">
        <v>78</v>
      </c>
      <c r="B160" s="8">
        <v>44997.663316585647</v>
      </c>
      <c r="C160" s="6" t="s">
        <v>28</v>
      </c>
      <c r="D160" s="6" t="s">
        <v>7</v>
      </c>
      <c r="E160" s="6" t="s">
        <v>10</v>
      </c>
      <c r="F160" s="6">
        <v>1398</v>
      </c>
      <c r="G160" s="6">
        <v>105</v>
      </c>
      <c r="H160" s="6">
        <v>1293</v>
      </c>
      <c r="I160" s="6" t="s">
        <v>19</v>
      </c>
      <c r="J160" s="6">
        <v>56</v>
      </c>
      <c r="K160" s="6" t="s">
        <v>27</v>
      </c>
      <c r="L160" s="7">
        <v>44997</v>
      </c>
      <c r="M160" s="6" t="s">
        <v>36</v>
      </c>
    </row>
    <row r="161" spans="1:13">
      <c r="A161" s="6" t="s">
        <v>77</v>
      </c>
      <c r="B161" s="8">
        <v>44998.1105527662</v>
      </c>
      <c r="C161" s="6" t="s">
        <v>28</v>
      </c>
      <c r="D161" s="6" t="s">
        <v>11</v>
      </c>
      <c r="E161" s="6" t="s">
        <v>2</v>
      </c>
      <c r="F161" s="6">
        <v>1456</v>
      </c>
      <c r="G161" s="6">
        <v>157</v>
      </c>
      <c r="H161" s="6">
        <v>1299</v>
      </c>
      <c r="I161" s="6" t="s">
        <v>15</v>
      </c>
      <c r="J161" s="6">
        <v>72</v>
      </c>
      <c r="K161" s="6" t="s">
        <v>29</v>
      </c>
      <c r="L161" s="7">
        <v>44998</v>
      </c>
      <c r="M161" s="6" t="s">
        <v>36</v>
      </c>
    </row>
    <row r="162" spans="1:13">
      <c r="A162" s="6" t="s">
        <v>76</v>
      </c>
      <c r="B162" s="8">
        <v>44998.55778894676</v>
      </c>
      <c r="C162" s="6" t="s">
        <v>26</v>
      </c>
      <c r="D162" s="6" t="s">
        <v>7</v>
      </c>
      <c r="E162" s="6" t="s">
        <v>10</v>
      </c>
      <c r="F162" s="6">
        <v>782</v>
      </c>
      <c r="G162" s="6">
        <v>146</v>
      </c>
      <c r="H162" s="6">
        <v>636</v>
      </c>
      <c r="I162" s="6" t="s">
        <v>17</v>
      </c>
      <c r="J162" s="6">
        <v>53</v>
      </c>
      <c r="K162" s="6" t="s">
        <v>27</v>
      </c>
      <c r="L162" s="7">
        <v>44998</v>
      </c>
      <c r="M162" s="6" t="s">
        <v>36</v>
      </c>
    </row>
    <row r="163" spans="1:13">
      <c r="A163" s="6" t="s">
        <v>75</v>
      </c>
      <c r="B163" s="8">
        <v>44999.005025127313</v>
      </c>
      <c r="C163" s="6" t="s">
        <v>22</v>
      </c>
      <c r="D163" s="6" t="s">
        <v>5</v>
      </c>
      <c r="E163" s="6" t="s">
        <v>8</v>
      </c>
      <c r="F163" s="6">
        <v>777</v>
      </c>
      <c r="G163" s="6">
        <v>144</v>
      </c>
      <c r="H163" s="6">
        <v>633</v>
      </c>
      <c r="I163" s="6" t="s">
        <v>17</v>
      </c>
      <c r="J163" s="6">
        <v>28</v>
      </c>
      <c r="K163" s="6" t="s">
        <v>27</v>
      </c>
      <c r="L163" s="7">
        <v>44999</v>
      </c>
      <c r="M163" s="6" t="s">
        <v>36</v>
      </c>
    </row>
    <row r="164" spans="1:13">
      <c r="A164" s="6" t="s">
        <v>74</v>
      </c>
      <c r="B164" s="8">
        <v>44999.452261307873</v>
      </c>
      <c r="C164" s="6" t="s">
        <v>28</v>
      </c>
      <c r="D164" s="6" t="s">
        <v>3</v>
      </c>
      <c r="E164" s="6" t="s">
        <v>10</v>
      </c>
      <c r="F164" s="6">
        <v>1122</v>
      </c>
      <c r="G164" s="6">
        <v>119</v>
      </c>
      <c r="H164" s="6">
        <v>1003</v>
      </c>
      <c r="I164" s="6" t="s">
        <v>16</v>
      </c>
      <c r="J164" s="6">
        <v>45</v>
      </c>
      <c r="K164" s="6" t="s">
        <v>29</v>
      </c>
      <c r="L164" s="7">
        <v>44999</v>
      </c>
      <c r="M164" s="6" t="s">
        <v>36</v>
      </c>
    </row>
    <row r="165" spans="1:13">
      <c r="A165" s="6" t="s">
        <v>73</v>
      </c>
      <c r="B165" s="8">
        <v>44999.899497488426</v>
      </c>
      <c r="C165" s="6" t="s">
        <v>23</v>
      </c>
      <c r="D165" s="6" t="s">
        <v>3</v>
      </c>
      <c r="E165" s="6" t="s">
        <v>8</v>
      </c>
      <c r="F165" s="6">
        <v>1432</v>
      </c>
      <c r="G165" s="6">
        <v>274</v>
      </c>
      <c r="H165" s="6">
        <v>1158</v>
      </c>
      <c r="I165" s="6" t="s">
        <v>19</v>
      </c>
      <c r="J165" s="6">
        <v>72</v>
      </c>
      <c r="K165" s="6" t="s">
        <v>27</v>
      </c>
      <c r="L165" s="7">
        <v>44999</v>
      </c>
      <c r="M165" s="6" t="s">
        <v>36</v>
      </c>
    </row>
    <row r="166" spans="1:13">
      <c r="A166" s="6" t="s">
        <v>72</v>
      </c>
      <c r="B166" s="8">
        <v>45000.346733668979</v>
      </c>
      <c r="C166" s="6" t="s">
        <v>20</v>
      </c>
      <c r="D166" s="6" t="s">
        <v>5</v>
      </c>
      <c r="E166" s="6" t="s">
        <v>6</v>
      </c>
      <c r="F166" s="6">
        <v>859</v>
      </c>
      <c r="G166" s="6">
        <v>91</v>
      </c>
      <c r="H166" s="6">
        <v>768</v>
      </c>
      <c r="I166" s="6" t="s">
        <v>17</v>
      </c>
      <c r="J166" s="6">
        <v>19</v>
      </c>
      <c r="K166" s="6" t="s">
        <v>29</v>
      </c>
      <c r="L166" s="7">
        <v>45000</v>
      </c>
      <c r="M166" s="6" t="s">
        <v>36</v>
      </c>
    </row>
    <row r="167" spans="1:13">
      <c r="A167" s="6" t="s">
        <v>71</v>
      </c>
      <c r="B167" s="8">
        <v>45000.793969849539</v>
      </c>
      <c r="C167" s="6" t="s">
        <v>26</v>
      </c>
      <c r="D167" s="6" t="s">
        <v>3</v>
      </c>
      <c r="E167" s="6" t="s">
        <v>2</v>
      </c>
      <c r="F167" s="6">
        <v>798</v>
      </c>
      <c r="G167" s="6">
        <v>57</v>
      </c>
      <c r="H167" s="6">
        <v>741</v>
      </c>
      <c r="I167" s="6" t="s">
        <v>19</v>
      </c>
      <c r="J167" s="6">
        <v>49</v>
      </c>
      <c r="K167" s="6" t="s">
        <v>27</v>
      </c>
      <c r="L167" s="7">
        <v>45000</v>
      </c>
      <c r="M167" s="6" t="s">
        <v>36</v>
      </c>
    </row>
    <row r="168" spans="1:13">
      <c r="A168" s="6" t="s">
        <v>70</v>
      </c>
      <c r="B168" s="8">
        <v>45001.241206030092</v>
      </c>
      <c r="C168" s="6" t="s">
        <v>28</v>
      </c>
      <c r="D168" s="6" t="s">
        <v>7</v>
      </c>
      <c r="E168" s="6" t="s">
        <v>8</v>
      </c>
      <c r="F168" s="6">
        <v>467</v>
      </c>
      <c r="G168" s="6">
        <v>228</v>
      </c>
      <c r="H168" s="6">
        <v>239</v>
      </c>
      <c r="I168" s="6" t="s">
        <v>17</v>
      </c>
      <c r="J168" s="6">
        <v>37</v>
      </c>
      <c r="K168" s="6" t="s">
        <v>29</v>
      </c>
      <c r="L168" s="7">
        <v>45001</v>
      </c>
      <c r="M168" s="6" t="s">
        <v>36</v>
      </c>
    </row>
    <row r="169" spans="1:13">
      <c r="A169" s="6" t="s">
        <v>69</v>
      </c>
      <c r="B169" s="8">
        <v>45001.688442210645</v>
      </c>
      <c r="C169" s="6" t="s">
        <v>22</v>
      </c>
      <c r="D169" s="6" t="s">
        <v>1</v>
      </c>
      <c r="E169" s="6" t="s">
        <v>8</v>
      </c>
      <c r="F169" s="6">
        <v>1398</v>
      </c>
      <c r="G169" s="6">
        <v>116</v>
      </c>
      <c r="H169" s="6">
        <v>1282</v>
      </c>
      <c r="I169" s="6" t="s">
        <v>19</v>
      </c>
      <c r="J169" s="6">
        <v>43</v>
      </c>
      <c r="K169" s="6" t="s">
        <v>27</v>
      </c>
      <c r="L169" s="7">
        <v>45001</v>
      </c>
      <c r="M169" s="6" t="s">
        <v>36</v>
      </c>
    </row>
    <row r="170" spans="1:13">
      <c r="A170" s="6" t="s">
        <v>68</v>
      </c>
      <c r="B170" s="8">
        <v>45002.135678391205</v>
      </c>
      <c r="C170" s="6" t="s">
        <v>28</v>
      </c>
      <c r="D170" s="6" t="s">
        <v>7</v>
      </c>
      <c r="E170" s="6" t="s">
        <v>4</v>
      </c>
      <c r="F170" s="6">
        <v>1407</v>
      </c>
      <c r="G170" s="6">
        <v>278</v>
      </c>
      <c r="H170" s="6">
        <v>1129</v>
      </c>
      <c r="I170" s="6" t="s">
        <v>17</v>
      </c>
      <c r="J170" s="6">
        <v>57</v>
      </c>
      <c r="K170" s="6" t="s">
        <v>27</v>
      </c>
      <c r="L170" s="7">
        <v>45002</v>
      </c>
      <c r="M170" s="6" t="s">
        <v>36</v>
      </c>
    </row>
    <row r="171" spans="1:13">
      <c r="A171" s="6" t="s">
        <v>67</v>
      </c>
      <c r="B171" s="8">
        <v>45002.582914571758</v>
      </c>
      <c r="C171" s="6" t="s">
        <v>28</v>
      </c>
      <c r="D171" s="6" t="s">
        <v>1</v>
      </c>
      <c r="E171" s="6" t="s">
        <v>6</v>
      </c>
      <c r="F171" s="6">
        <v>833</v>
      </c>
      <c r="G171" s="6">
        <v>126</v>
      </c>
      <c r="H171" s="6">
        <v>707</v>
      </c>
      <c r="I171" s="6" t="s">
        <v>16</v>
      </c>
      <c r="J171" s="6">
        <v>25</v>
      </c>
      <c r="K171" s="6" t="s">
        <v>29</v>
      </c>
      <c r="L171" s="7">
        <v>45002</v>
      </c>
      <c r="M171" s="6" t="s">
        <v>36</v>
      </c>
    </row>
    <row r="172" spans="1:13">
      <c r="A172" s="6" t="s">
        <v>66</v>
      </c>
      <c r="B172" s="8">
        <v>45003.030150752318</v>
      </c>
      <c r="C172" s="6" t="s">
        <v>23</v>
      </c>
      <c r="D172" s="6" t="s">
        <v>5</v>
      </c>
      <c r="E172" s="6" t="s">
        <v>2</v>
      </c>
      <c r="F172" s="6">
        <v>813</v>
      </c>
      <c r="G172" s="6">
        <v>128</v>
      </c>
      <c r="H172" s="6">
        <v>685</v>
      </c>
      <c r="I172" s="6" t="s">
        <v>19</v>
      </c>
      <c r="J172" s="6">
        <v>32</v>
      </c>
      <c r="K172" s="6" t="s">
        <v>27</v>
      </c>
      <c r="L172" s="7">
        <v>45003</v>
      </c>
      <c r="M172" s="6" t="s">
        <v>36</v>
      </c>
    </row>
    <row r="173" spans="1:13">
      <c r="A173" s="6" t="s">
        <v>65</v>
      </c>
      <c r="B173" s="8">
        <v>45003.477386932871</v>
      </c>
      <c r="C173" s="6" t="s">
        <v>24</v>
      </c>
      <c r="D173" s="6" t="s">
        <v>3</v>
      </c>
      <c r="E173" s="6" t="s">
        <v>4</v>
      </c>
      <c r="F173" s="6">
        <v>1406</v>
      </c>
      <c r="G173" s="6">
        <v>57</v>
      </c>
      <c r="H173" s="6">
        <v>1349</v>
      </c>
      <c r="I173" s="6" t="s">
        <v>17</v>
      </c>
      <c r="J173" s="6">
        <v>61</v>
      </c>
      <c r="K173" s="6" t="s">
        <v>27</v>
      </c>
      <c r="L173" s="7">
        <v>45003</v>
      </c>
      <c r="M173" s="6" t="s">
        <v>36</v>
      </c>
    </row>
    <row r="174" spans="1:13">
      <c r="A174" s="6" t="s">
        <v>64</v>
      </c>
      <c r="B174" s="8">
        <v>45003.924623113424</v>
      </c>
      <c r="C174" s="6" t="s">
        <v>18</v>
      </c>
      <c r="D174" s="6" t="s">
        <v>9</v>
      </c>
      <c r="E174" s="6" t="s">
        <v>10</v>
      </c>
      <c r="F174" s="6">
        <v>1286</v>
      </c>
      <c r="G174" s="6">
        <v>121</v>
      </c>
      <c r="H174" s="6">
        <v>1165</v>
      </c>
      <c r="I174" s="6" t="s">
        <v>16</v>
      </c>
      <c r="J174" s="6">
        <v>26</v>
      </c>
      <c r="K174" s="6" t="s">
        <v>29</v>
      </c>
      <c r="L174" s="7">
        <v>45003</v>
      </c>
      <c r="M174" s="6" t="s">
        <v>36</v>
      </c>
    </row>
    <row r="175" spans="1:13">
      <c r="A175" s="6" t="s">
        <v>63</v>
      </c>
      <c r="B175" s="8">
        <v>45004.371859293984</v>
      </c>
      <c r="C175" s="6" t="s">
        <v>20</v>
      </c>
      <c r="D175" s="6" t="s">
        <v>11</v>
      </c>
      <c r="E175" s="6" t="s">
        <v>8</v>
      </c>
      <c r="F175" s="6">
        <v>591</v>
      </c>
      <c r="G175" s="6">
        <v>0</v>
      </c>
      <c r="H175" s="6">
        <v>591</v>
      </c>
      <c r="I175" s="6" t="s">
        <v>16</v>
      </c>
      <c r="J175" s="6">
        <v>23</v>
      </c>
      <c r="K175" s="6" t="s">
        <v>29</v>
      </c>
      <c r="L175" s="7">
        <v>45004</v>
      </c>
      <c r="M175" s="6" t="s">
        <v>36</v>
      </c>
    </row>
    <row r="176" spans="1:13">
      <c r="A176" s="6" t="s">
        <v>62</v>
      </c>
      <c r="B176" s="8">
        <v>45004.819095474537</v>
      </c>
      <c r="C176" s="6" t="s">
        <v>20</v>
      </c>
      <c r="D176" s="6" t="s">
        <v>9</v>
      </c>
      <c r="E176" s="6" t="s">
        <v>2</v>
      </c>
      <c r="F176" s="6">
        <v>713</v>
      </c>
      <c r="G176" s="6">
        <v>238</v>
      </c>
      <c r="H176" s="6">
        <v>475</v>
      </c>
      <c r="I176" s="6" t="s">
        <v>17</v>
      </c>
      <c r="J176" s="6">
        <v>24</v>
      </c>
      <c r="K176" s="6" t="s">
        <v>29</v>
      </c>
      <c r="L176" s="7">
        <v>45004</v>
      </c>
      <c r="M176" s="6" t="s">
        <v>36</v>
      </c>
    </row>
    <row r="177" spans="1:13">
      <c r="A177" s="6" t="s">
        <v>61</v>
      </c>
      <c r="B177" s="8">
        <v>45005.26633165509</v>
      </c>
      <c r="C177" s="6" t="s">
        <v>28</v>
      </c>
      <c r="D177" s="6" t="s">
        <v>1</v>
      </c>
      <c r="E177" s="6" t="s">
        <v>6</v>
      </c>
      <c r="F177" s="6">
        <v>1441</v>
      </c>
      <c r="G177" s="6">
        <v>289</v>
      </c>
      <c r="H177" s="6">
        <v>1152</v>
      </c>
      <c r="I177" s="6" t="s">
        <v>19</v>
      </c>
      <c r="J177" s="6">
        <v>72</v>
      </c>
      <c r="K177" s="6" t="s">
        <v>29</v>
      </c>
      <c r="L177" s="7">
        <v>45005</v>
      </c>
      <c r="M177" s="6" t="s">
        <v>36</v>
      </c>
    </row>
    <row r="178" spans="1:13">
      <c r="A178" s="6" t="s">
        <v>60</v>
      </c>
      <c r="B178" s="8">
        <v>45005.71356783565</v>
      </c>
      <c r="C178" s="6" t="s">
        <v>26</v>
      </c>
      <c r="D178" s="6" t="s">
        <v>7</v>
      </c>
      <c r="E178" s="6" t="s">
        <v>4</v>
      </c>
      <c r="F178" s="6">
        <v>1286</v>
      </c>
      <c r="G178" s="6">
        <v>95</v>
      </c>
      <c r="H178" s="6">
        <v>1191</v>
      </c>
      <c r="I178" s="6" t="s">
        <v>15</v>
      </c>
      <c r="J178" s="6">
        <v>58</v>
      </c>
      <c r="K178" s="6" t="s">
        <v>27</v>
      </c>
      <c r="L178" s="7">
        <v>45005</v>
      </c>
      <c r="M178" s="6" t="s">
        <v>36</v>
      </c>
    </row>
    <row r="179" spans="1:13">
      <c r="A179" s="6" t="s">
        <v>59</v>
      </c>
      <c r="B179" s="8">
        <v>45006.160804016203</v>
      </c>
      <c r="C179" s="6" t="s">
        <v>18</v>
      </c>
      <c r="D179" s="6" t="s">
        <v>7</v>
      </c>
      <c r="E179" s="6" t="s">
        <v>8</v>
      </c>
      <c r="F179" s="6">
        <v>1101</v>
      </c>
      <c r="G179" s="6">
        <v>125</v>
      </c>
      <c r="H179" s="6">
        <v>976</v>
      </c>
      <c r="I179" s="6" t="s">
        <v>16</v>
      </c>
      <c r="J179" s="6">
        <v>31</v>
      </c>
      <c r="K179" s="6" t="s">
        <v>29</v>
      </c>
      <c r="L179" s="7">
        <v>45006</v>
      </c>
      <c r="M179" s="6" t="s">
        <v>36</v>
      </c>
    </row>
    <row r="180" spans="1:13">
      <c r="A180" s="6" t="s">
        <v>58</v>
      </c>
      <c r="B180" s="8">
        <v>45006.608040196763</v>
      </c>
      <c r="C180" s="6" t="s">
        <v>18</v>
      </c>
      <c r="D180" s="6" t="s">
        <v>7</v>
      </c>
      <c r="E180" s="6" t="s">
        <v>12</v>
      </c>
      <c r="F180" s="6">
        <v>1254</v>
      </c>
      <c r="G180" s="6">
        <v>117</v>
      </c>
      <c r="H180" s="6">
        <v>1137</v>
      </c>
      <c r="I180" s="6" t="s">
        <v>16</v>
      </c>
      <c r="J180" s="6">
        <v>52</v>
      </c>
      <c r="K180" s="6" t="s">
        <v>29</v>
      </c>
      <c r="L180" s="7">
        <v>45006</v>
      </c>
      <c r="M180" s="6" t="s">
        <v>36</v>
      </c>
    </row>
    <row r="181" spans="1:13">
      <c r="A181" s="6" t="s">
        <v>57</v>
      </c>
      <c r="B181" s="8">
        <v>45007.055276377316</v>
      </c>
      <c r="C181" s="6" t="s">
        <v>18</v>
      </c>
      <c r="D181" s="6" t="s">
        <v>7</v>
      </c>
      <c r="E181" s="6" t="s">
        <v>2</v>
      </c>
      <c r="F181" s="6">
        <v>848</v>
      </c>
      <c r="G181" s="6">
        <v>47</v>
      </c>
      <c r="H181" s="6">
        <v>801</v>
      </c>
      <c r="I181" s="6" t="s">
        <v>17</v>
      </c>
      <c r="J181" s="6">
        <v>21</v>
      </c>
      <c r="K181" s="6" t="s">
        <v>29</v>
      </c>
      <c r="L181" s="7">
        <v>45007</v>
      </c>
      <c r="M181" s="6" t="s">
        <v>36</v>
      </c>
    </row>
    <row r="182" spans="1:13">
      <c r="A182" s="6" t="s">
        <v>56</v>
      </c>
      <c r="B182" s="8">
        <v>45007.502512557869</v>
      </c>
      <c r="C182" s="6" t="s">
        <v>22</v>
      </c>
      <c r="D182" s="6" t="s">
        <v>11</v>
      </c>
      <c r="E182" s="6" t="s">
        <v>4</v>
      </c>
      <c r="F182" s="6">
        <v>262</v>
      </c>
      <c r="G182" s="6">
        <v>88</v>
      </c>
      <c r="H182" s="6">
        <v>174</v>
      </c>
      <c r="I182" s="6" t="s">
        <v>15</v>
      </c>
      <c r="J182" s="6">
        <v>60</v>
      </c>
      <c r="K182" s="6" t="s">
        <v>29</v>
      </c>
      <c r="L182" s="7">
        <v>45007</v>
      </c>
      <c r="M182" s="6" t="s">
        <v>36</v>
      </c>
    </row>
    <row r="183" spans="1:13">
      <c r="A183" s="6" t="s">
        <v>55</v>
      </c>
      <c r="B183" s="8">
        <v>45007.949748738429</v>
      </c>
      <c r="C183" s="6" t="s">
        <v>22</v>
      </c>
      <c r="D183" s="6" t="s">
        <v>5</v>
      </c>
      <c r="E183" s="6" t="s">
        <v>6</v>
      </c>
      <c r="F183" s="6">
        <v>151</v>
      </c>
      <c r="G183" s="6">
        <v>236</v>
      </c>
      <c r="H183" s="6">
        <v>-85</v>
      </c>
      <c r="I183" s="6" t="s">
        <v>15</v>
      </c>
      <c r="J183" s="6">
        <v>27</v>
      </c>
      <c r="K183" s="6" t="s">
        <v>27</v>
      </c>
      <c r="L183" s="7">
        <v>45007</v>
      </c>
      <c r="M183" s="6" t="s">
        <v>36</v>
      </c>
    </row>
    <row r="184" spans="1:13">
      <c r="A184" s="6" t="s">
        <v>54</v>
      </c>
      <c r="B184" s="8">
        <v>45008.396984918982</v>
      </c>
      <c r="C184" s="6" t="s">
        <v>23</v>
      </c>
      <c r="D184" s="6" t="s">
        <v>7</v>
      </c>
      <c r="E184" s="6" t="s">
        <v>4</v>
      </c>
      <c r="F184" s="6">
        <v>791</v>
      </c>
      <c r="G184" s="6">
        <v>271</v>
      </c>
      <c r="H184" s="6">
        <v>520</v>
      </c>
      <c r="I184" s="6" t="s">
        <v>15</v>
      </c>
      <c r="J184" s="6">
        <v>54</v>
      </c>
      <c r="K184" s="6" t="s">
        <v>27</v>
      </c>
      <c r="L184" s="7">
        <v>45008</v>
      </c>
      <c r="M184" s="6" t="s">
        <v>36</v>
      </c>
    </row>
    <row r="185" spans="1:13">
      <c r="A185" s="6" t="s">
        <v>53</v>
      </c>
      <c r="B185" s="8">
        <v>45008.844221111111</v>
      </c>
      <c r="C185" s="6" t="s">
        <v>26</v>
      </c>
      <c r="D185" s="6" t="s">
        <v>1</v>
      </c>
      <c r="E185" s="6" t="s">
        <v>4</v>
      </c>
      <c r="F185" s="6">
        <v>369</v>
      </c>
      <c r="G185" s="6">
        <v>188</v>
      </c>
      <c r="H185" s="6">
        <v>181</v>
      </c>
      <c r="I185" s="6" t="s">
        <v>17</v>
      </c>
      <c r="J185" s="6">
        <v>56</v>
      </c>
      <c r="K185" s="6" t="s">
        <v>27</v>
      </c>
      <c r="L185" s="7">
        <v>45008</v>
      </c>
      <c r="M185" s="6" t="s">
        <v>36</v>
      </c>
    </row>
    <row r="186" spans="1:13">
      <c r="A186" s="6" t="s">
        <v>52</v>
      </c>
      <c r="B186" s="8">
        <v>45009.291457291663</v>
      </c>
      <c r="C186" s="6" t="s">
        <v>18</v>
      </c>
      <c r="D186" s="6" t="s">
        <v>3</v>
      </c>
      <c r="E186" s="6" t="s">
        <v>4</v>
      </c>
      <c r="F186" s="6">
        <v>1004</v>
      </c>
      <c r="G186" s="6">
        <v>191</v>
      </c>
      <c r="H186" s="6">
        <v>813</v>
      </c>
      <c r="I186" s="6" t="s">
        <v>19</v>
      </c>
      <c r="J186" s="6">
        <v>23</v>
      </c>
      <c r="K186" s="6" t="s">
        <v>29</v>
      </c>
      <c r="L186" s="7">
        <v>45009</v>
      </c>
      <c r="M186" s="6" t="s">
        <v>36</v>
      </c>
    </row>
    <row r="187" spans="1:13">
      <c r="A187" s="6" t="s">
        <v>51</v>
      </c>
      <c r="B187" s="8">
        <v>45009.738693472224</v>
      </c>
      <c r="C187" s="6" t="s">
        <v>21</v>
      </c>
      <c r="D187" s="6" t="s">
        <v>11</v>
      </c>
      <c r="E187" s="6" t="s">
        <v>10</v>
      </c>
      <c r="F187" s="6">
        <v>1398</v>
      </c>
      <c r="G187" s="6">
        <v>68</v>
      </c>
      <c r="H187" s="6">
        <v>1330</v>
      </c>
      <c r="I187" s="6" t="s">
        <v>16</v>
      </c>
      <c r="J187" s="6">
        <v>64</v>
      </c>
      <c r="K187" s="6" t="s">
        <v>27</v>
      </c>
      <c r="L187" s="7">
        <v>45009</v>
      </c>
      <c r="M187" s="6" t="s">
        <v>36</v>
      </c>
    </row>
    <row r="188" spans="1:13">
      <c r="A188" s="6" t="s">
        <v>50</v>
      </c>
      <c r="B188" s="8">
        <v>45010.185929652776</v>
      </c>
      <c r="C188" s="6" t="s">
        <v>20</v>
      </c>
      <c r="D188" s="6" t="s">
        <v>1</v>
      </c>
      <c r="E188" s="6" t="s">
        <v>12</v>
      </c>
      <c r="F188" s="6">
        <v>534</v>
      </c>
      <c r="G188" s="6">
        <v>277</v>
      </c>
      <c r="H188" s="6">
        <v>257</v>
      </c>
      <c r="I188" s="6" t="s">
        <v>17</v>
      </c>
      <c r="J188" s="6">
        <v>41</v>
      </c>
      <c r="K188" s="6" t="s">
        <v>27</v>
      </c>
      <c r="L188" s="7">
        <v>45010</v>
      </c>
      <c r="M188" s="6" t="s">
        <v>36</v>
      </c>
    </row>
    <row r="189" spans="1:13">
      <c r="A189" s="6" t="s">
        <v>49</v>
      </c>
      <c r="B189" s="8">
        <v>45010.633165833337</v>
      </c>
      <c r="C189" s="6" t="s">
        <v>28</v>
      </c>
      <c r="D189" s="6" t="s">
        <v>1</v>
      </c>
      <c r="E189" s="6" t="s">
        <v>6</v>
      </c>
      <c r="F189" s="6">
        <v>1303</v>
      </c>
      <c r="G189" s="6">
        <v>246</v>
      </c>
      <c r="H189" s="6">
        <v>1057</v>
      </c>
      <c r="I189" s="6" t="s">
        <v>15</v>
      </c>
      <c r="J189" s="6">
        <v>72</v>
      </c>
      <c r="K189" s="6" t="s">
        <v>29</v>
      </c>
      <c r="L189" s="7">
        <v>45010</v>
      </c>
      <c r="M189" s="6" t="s">
        <v>36</v>
      </c>
    </row>
    <row r="190" spans="1:13">
      <c r="A190" s="6" t="s">
        <v>48</v>
      </c>
      <c r="B190" s="8">
        <v>45011.080402013889</v>
      </c>
      <c r="C190" s="6" t="s">
        <v>28</v>
      </c>
      <c r="D190" s="6" t="s">
        <v>7</v>
      </c>
      <c r="E190" s="6" t="s">
        <v>6</v>
      </c>
      <c r="F190" s="6">
        <v>1226</v>
      </c>
      <c r="G190" s="6">
        <v>75</v>
      </c>
      <c r="H190" s="6">
        <v>1151</v>
      </c>
      <c r="I190" s="6" t="s">
        <v>16</v>
      </c>
      <c r="J190" s="6">
        <v>16</v>
      </c>
      <c r="K190" s="6" t="s">
        <v>27</v>
      </c>
      <c r="L190" s="7">
        <v>45011</v>
      </c>
      <c r="M190" s="6" t="s">
        <v>36</v>
      </c>
    </row>
    <row r="191" spans="1:13">
      <c r="A191" s="6" t="s">
        <v>47</v>
      </c>
      <c r="B191" s="8">
        <v>45011.527638194442</v>
      </c>
      <c r="C191" s="6" t="s">
        <v>18</v>
      </c>
      <c r="D191" s="6" t="s">
        <v>3</v>
      </c>
      <c r="E191" s="6" t="s">
        <v>6</v>
      </c>
      <c r="F191" s="6">
        <v>879</v>
      </c>
      <c r="G191" s="6">
        <v>153</v>
      </c>
      <c r="H191" s="6">
        <v>726</v>
      </c>
      <c r="I191" s="6" t="s">
        <v>16</v>
      </c>
      <c r="J191" s="6">
        <v>19</v>
      </c>
      <c r="K191" s="6" t="s">
        <v>27</v>
      </c>
      <c r="L191" s="7">
        <v>45011</v>
      </c>
      <c r="M191" s="6" t="s">
        <v>36</v>
      </c>
    </row>
    <row r="192" spans="1:13">
      <c r="A192" s="6" t="s">
        <v>46</v>
      </c>
      <c r="B192" s="8">
        <v>45011.974874375002</v>
      </c>
      <c r="C192" s="6" t="s">
        <v>18</v>
      </c>
      <c r="D192" s="6" t="s">
        <v>7</v>
      </c>
      <c r="E192" s="6" t="s">
        <v>8</v>
      </c>
      <c r="F192" s="6">
        <v>396</v>
      </c>
      <c r="G192" s="6">
        <v>143</v>
      </c>
      <c r="H192" s="6">
        <v>253</v>
      </c>
      <c r="I192" s="6" t="s">
        <v>15</v>
      </c>
      <c r="J192" s="6">
        <v>43</v>
      </c>
      <c r="K192" s="6" t="s">
        <v>29</v>
      </c>
      <c r="L192" s="7">
        <v>45011</v>
      </c>
      <c r="M192" s="6" t="s">
        <v>36</v>
      </c>
    </row>
    <row r="193" spans="1:13">
      <c r="A193" s="6" t="s">
        <v>45</v>
      </c>
      <c r="B193" s="8">
        <v>45012.422110555555</v>
      </c>
      <c r="C193" s="6" t="s">
        <v>21</v>
      </c>
      <c r="D193" s="6" t="s">
        <v>1</v>
      </c>
      <c r="E193" s="6" t="s">
        <v>2</v>
      </c>
      <c r="F193" s="6">
        <v>985</v>
      </c>
      <c r="G193" s="6">
        <v>85</v>
      </c>
      <c r="H193" s="6">
        <v>900</v>
      </c>
      <c r="I193" s="6" t="s">
        <v>15</v>
      </c>
      <c r="J193" s="6">
        <v>51</v>
      </c>
      <c r="K193" s="6" t="s">
        <v>27</v>
      </c>
      <c r="L193" s="7">
        <v>45012</v>
      </c>
      <c r="M193" s="6" t="s">
        <v>36</v>
      </c>
    </row>
    <row r="194" spans="1:13">
      <c r="A194" s="6" t="s">
        <v>44</v>
      </c>
      <c r="B194" s="8">
        <v>45012.869346736108</v>
      </c>
      <c r="C194" s="6" t="s">
        <v>28</v>
      </c>
      <c r="D194" s="6" t="s">
        <v>5</v>
      </c>
      <c r="E194" s="6" t="s">
        <v>6</v>
      </c>
      <c r="F194" s="6">
        <v>352</v>
      </c>
      <c r="G194" s="6">
        <v>184</v>
      </c>
      <c r="H194" s="6">
        <v>168</v>
      </c>
      <c r="I194" s="6" t="s">
        <v>16</v>
      </c>
      <c r="J194" s="6">
        <v>52</v>
      </c>
      <c r="K194" s="6" t="s">
        <v>29</v>
      </c>
      <c r="L194" s="7">
        <v>45012</v>
      </c>
      <c r="M194" s="6" t="s">
        <v>36</v>
      </c>
    </row>
    <row r="195" spans="1:13">
      <c r="A195" s="6" t="s">
        <v>43</v>
      </c>
      <c r="B195" s="8">
        <v>45013.316582916668</v>
      </c>
      <c r="C195" s="6" t="s">
        <v>23</v>
      </c>
      <c r="D195" s="6" t="s">
        <v>11</v>
      </c>
      <c r="E195" s="6" t="s">
        <v>2</v>
      </c>
      <c r="F195" s="6">
        <v>1357</v>
      </c>
      <c r="G195" s="6">
        <v>284</v>
      </c>
      <c r="H195" s="6">
        <v>1073</v>
      </c>
      <c r="I195" s="6" t="s">
        <v>16</v>
      </c>
      <c r="J195" s="6">
        <v>33</v>
      </c>
      <c r="K195" s="6" t="s">
        <v>27</v>
      </c>
      <c r="L195" s="7">
        <v>45013</v>
      </c>
      <c r="M195" s="6" t="s">
        <v>36</v>
      </c>
    </row>
    <row r="196" spans="1:13">
      <c r="A196" s="6" t="s">
        <v>42</v>
      </c>
      <c r="B196" s="8">
        <v>45013.763819097221</v>
      </c>
      <c r="C196" s="6" t="s">
        <v>18</v>
      </c>
      <c r="D196" s="6" t="s">
        <v>5</v>
      </c>
      <c r="E196" s="6" t="s">
        <v>6</v>
      </c>
      <c r="F196" s="6">
        <v>272</v>
      </c>
      <c r="G196" s="6">
        <v>219</v>
      </c>
      <c r="H196" s="6">
        <v>53</v>
      </c>
      <c r="I196" s="6" t="s">
        <v>19</v>
      </c>
      <c r="J196" s="6">
        <v>22</v>
      </c>
      <c r="K196" s="6" t="s">
        <v>27</v>
      </c>
      <c r="L196" s="7">
        <v>45013</v>
      </c>
      <c r="M196" s="6" t="s">
        <v>36</v>
      </c>
    </row>
    <row r="197" spans="1:13">
      <c r="A197" s="6" t="s">
        <v>41</v>
      </c>
      <c r="B197" s="8">
        <v>45014.211055277781</v>
      </c>
      <c r="C197" s="6" t="s">
        <v>20</v>
      </c>
      <c r="D197" s="6" t="s">
        <v>11</v>
      </c>
      <c r="E197" s="6" t="s">
        <v>12</v>
      </c>
      <c r="F197" s="6">
        <v>550</v>
      </c>
      <c r="G197" s="6">
        <v>68</v>
      </c>
      <c r="H197" s="6">
        <v>482</v>
      </c>
      <c r="I197" s="6" t="s">
        <v>19</v>
      </c>
      <c r="J197" s="6">
        <v>62</v>
      </c>
      <c r="K197" s="6" t="s">
        <v>29</v>
      </c>
      <c r="L197" s="7">
        <v>45014</v>
      </c>
      <c r="M197" s="6" t="s">
        <v>36</v>
      </c>
    </row>
    <row r="198" spans="1:13">
      <c r="A198" s="6" t="s">
        <v>40</v>
      </c>
      <c r="B198" s="8">
        <v>45014.658291458334</v>
      </c>
      <c r="C198" s="6" t="s">
        <v>24</v>
      </c>
      <c r="D198" s="6" t="s">
        <v>7</v>
      </c>
      <c r="E198" s="6" t="s">
        <v>8</v>
      </c>
      <c r="F198" s="6">
        <v>916</v>
      </c>
      <c r="G198" s="6">
        <v>46</v>
      </c>
      <c r="H198" s="6">
        <v>870</v>
      </c>
      <c r="I198" s="6" t="s">
        <v>17</v>
      </c>
      <c r="J198" s="6">
        <v>59</v>
      </c>
      <c r="K198" s="6" t="s">
        <v>27</v>
      </c>
      <c r="L198" s="7">
        <v>45014</v>
      </c>
      <c r="M198" s="6" t="s">
        <v>36</v>
      </c>
    </row>
    <row r="199" spans="1:13">
      <c r="A199" s="6" t="s">
        <v>39</v>
      </c>
      <c r="B199" s="8">
        <v>45015.105527638887</v>
      </c>
      <c r="C199" s="6" t="s">
        <v>26</v>
      </c>
      <c r="D199" s="6" t="s">
        <v>7</v>
      </c>
      <c r="E199" s="6" t="s">
        <v>8</v>
      </c>
      <c r="F199" s="6">
        <v>443</v>
      </c>
      <c r="G199" s="6">
        <v>93</v>
      </c>
      <c r="H199" s="6">
        <v>350</v>
      </c>
      <c r="I199" s="6" t="s">
        <v>16</v>
      </c>
      <c r="J199" s="6">
        <v>15</v>
      </c>
      <c r="K199" s="6" t="s">
        <v>29</v>
      </c>
      <c r="L199" s="7">
        <v>45015</v>
      </c>
      <c r="M199" s="6" t="s">
        <v>36</v>
      </c>
    </row>
    <row r="200" spans="1:13">
      <c r="A200" s="6" t="s">
        <v>38</v>
      </c>
      <c r="B200" s="8">
        <v>45015.552763819447</v>
      </c>
      <c r="C200" s="6" t="s">
        <v>23</v>
      </c>
      <c r="D200" s="6" t="s">
        <v>11</v>
      </c>
      <c r="E200" s="6" t="s">
        <v>4</v>
      </c>
      <c r="F200" s="6">
        <v>429</v>
      </c>
      <c r="G200" s="6">
        <v>237</v>
      </c>
      <c r="H200" s="6">
        <v>192</v>
      </c>
      <c r="I200" s="6" t="s">
        <v>19</v>
      </c>
      <c r="J200" s="6">
        <v>36</v>
      </c>
      <c r="K200" s="6" t="s">
        <v>29</v>
      </c>
      <c r="L200" s="7">
        <v>45015</v>
      </c>
      <c r="M200" s="6" t="s">
        <v>36</v>
      </c>
    </row>
    <row r="201" spans="1:13">
      <c r="A201" s="6" t="s">
        <v>37</v>
      </c>
      <c r="B201" s="8">
        <v>45016</v>
      </c>
      <c r="C201" s="6" t="s">
        <v>20</v>
      </c>
      <c r="D201" s="6" t="s">
        <v>3</v>
      </c>
      <c r="E201" s="6" t="s">
        <v>10</v>
      </c>
      <c r="F201" s="6">
        <v>1033</v>
      </c>
      <c r="G201" s="6">
        <v>203</v>
      </c>
      <c r="H201" s="6">
        <v>830</v>
      </c>
      <c r="I201" s="6" t="s">
        <v>16</v>
      </c>
      <c r="J201" s="6">
        <v>66</v>
      </c>
      <c r="K201" s="6" t="s">
        <v>29</v>
      </c>
      <c r="L201" s="7">
        <v>45016</v>
      </c>
      <c r="M201" s="6"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102"/>
  <sheetViews>
    <sheetView zoomScale="70" zoomScaleNormal="70" workbookViewId="0">
      <selection activeCell="J20" sqref="J20"/>
    </sheetView>
  </sheetViews>
  <sheetFormatPr defaultRowHeight="14.5"/>
  <cols>
    <col min="1" max="1" width="14.7265625" customWidth="1"/>
    <col min="2" max="2" width="22.81640625" customWidth="1"/>
    <col min="3" max="3" width="25.6328125" bestFit="1" customWidth="1"/>
    <col min="4" max="4" width="14.7265625" customWidth="1"/>
    <col min="5" max="5" width="17.36328125" customWidth="1"/>
    <col min="6" max="6" width="15" customWidth="1"/>
    <col min="7" max="7" width="22.81640625" customWidth="1"/>
    <col min="8" max="8" width="17.36328125" bestFit="1" customWidth="1"/>
    <col min="15" max="15" width="14.7265625" bestFit="1" customWidth="1"/>
    <col min="16" max="16" width="17.36328125" bestFit="1" customWidth="1"/>
  </cols>
  <sheetData>
    <row r="3" spans="1:16">
      <c r="A3" t="s">
        <v>25</v>
      </c>
      <c r="B3" t="s">
        <v>13</v>
      </c>
      <c r="C3" t="s">
        <v>35</v>
      </c>
      <c r="D3" t="s">
        <v>34</v>
      </c>
    </row>
    <row r="4" spans="1:16">
      <c r="A4" s="1">
        <v>141181</v>
      </c>
      <c r="B4" s="1">
        <v>200</v>
      </c>
      <c r="C4" s="1">
        <v>856.48</v>
      </c>
      <c r="D4" s="1">
        <v>44.744999999999997</v>
      </c>
    </row>
    <row r="6" spans="1:16">
      <c r="A6" t="s">
        <v>33</v>
      </c>
      <c r="B6" t="s">
        <v>32</v>
      </c>
      <c r="C6" t="s">
        <v>31</v>
      </c>
      <c r="D6" t="s">
        <v>30</v>
      </c>
    </row>
    <row r="7" spans="1:16">
      <c r="A7" s="5">
        <f>GETPIVOTDATA("Sum of Final Amount (₹)",$A$3)</f>
        <v>141181</v>
      </c>
      <c r="B7">
        <f>GETPIVOTDATA("Count of Order ID",$A$3)</f>
        <v>200</v>
      </c>
      <c r="C7" s="5">
        <f>GETPIVOTDATA("Average of Order Value (₹)",$A$3)</f>
        <v>856.48</v>
      </c>
      <c r="D7">
        <f>GETPIVOTDATA("Average of Delivery Time (Minutes)",$A$3)</f>
        <v>44.744999999999997</v>
      </c>
      <c r="O7" s="4" t="s">
        <v>14</v>
      </c>
      <c r="P7" t="s">
        <v>13</v>
      </c>
    </row>
    <row r="8" spans="1:16">
      <c r="F8" s="4" t="s">
        <v>14</v>
      </c>
      <c r="G8" t="s">
        <v>25</v>
      </c>
      <c r="O8" s="3" t="s">
        <v>29</v>
      </c>
      <c r="P8" s="1">
        <v>112</v>
      </c>
    </row>
    <row r="9" spans="1:16">
      <c r="F9" s="3" t="s">
        <v>28</v>
      </c>
      <c r="G9" s="1">
        <v>21218</v>
      </c>
      <c r="O9" s="3" t="s">
        <v>27</v>
      </c>
      <c r="P9" s="1">
        <v>88</v>
      </c>
    </row>
    <row r="10" spans="1:16">
      <c r="F10" s="3" t="s">
        <v>26</v>
      </c>
      <c r="G10" s="1">
        <v>21098</v>
      </c>
      <c r="O10" s="3" t="s">
        <v>0</v>
      </c>
      <c r="P10" s="1">
        <v>200</v>
      </c>
    </row>
    <row r="11" spans="1:16">
      <c r="A11" s="4" t="s">
        <v>14</v>
      </c>
      <c r="B11" t="s">
        <v>25</v>
      </c>
      <c r="F11" s="3" t="s">
        <v>24</v>
      </c>
      <c r="G11" s="1">
        <v>19960</v>
      </c>
    </row>
    <row r="12" spans="1:16">
      <c r="A12" s="2">
        <v>44927</v>
      </c>
      <c r="B12" s="1">
        <v>3197</v>
      </c>
      <c r="F12" s="3" t="s">
        <v>23</v>
      </c>
      <c r="G12" s="1">
        <v>18150</v>
      </c>
    </row>
    <row r="13" spans="1:16">
      <c r="A13" s="2">
        <v>44928</v>
      </c>
      <c r="B13" s="1">
        <v>2286</v>
      </c>
      <c r="F13" s="3" t="s">
        <v>22</v>
      </c>
      <c r="G13" s="1">
        <v>17170</v>
      </c>
      <c r="J13" s="3"/>
      <c r="K13" s="1"/>
    </row>
    <row r="14" spans="1:16">
      <c r="A14" s="2">
        <v>44929</v>
      </c>
      <c r="B14" s="1">
        <v>1142</v>
      </c>
      <c r="F14" s="3" t="s">
        <v>21</v>
      </c>
      <c r="G14" s="1">
        <v>14995</v>
      </c>
      <c r="J14" s="3"/>
      <c r="K14" s="1"/>
    </row>
    <row r="15" spans="1:16">
      <c r="A15" s="2">
        <v>44930</v>
      </c>
      <c r="B15" s="1">
        <v>1560</v>
      </c>
      <c r="D15" s="4" t="s">
        <v>14</v>
      </c>
      <c r="E15" t="s">
        <v>13</v>
      </c>
      <c r="F15" s="3" t="s">
        <v>20</v>
      </c>
      <c r="G15" s="1">
        <v>14634</v>
      </c>
      <c r="J15" s="3"/>
      <c r="K15" s="1"/>
    </row>
    <row r="16" spans="1:16">
      <c r="A16" s="2">
        <v>44931</v>
      </c>
      <c r="B16" s="1">
        <v>1446</v>
      </c>
      <c r="D16" s="3" t="s">
        <v>17</v>
      </c>
      <c r="E16" s="1">
        <v>52</v>
      </c>
      <c r="F16" s="3" t="s">
        <v>18</v>
      </c>
      <c r="G16" s="1">
        <v>13956</v>
      </c>
      <c r="J16" s="3"/>
      <c r="K16" s="1"/>
    </row>
    <row r="17" spans="1:12">
      <c r="A17" s="2">
        <v>44932</v>
      </c>
      <c r="B17" s="1">
        <v>956</v>
      </c>
      <c r="D17" s="3" t="s">
        <v>16</v>
      </c>
      <c r="E17" s="1">
        <v>47</v>
      </c>
      <c r="F17" s="3" t="s">
        <v>0</v>
      </c>
      <c r="G17" s="1">
        <v>141181</v>
      </c>
      <c r="J17" s="3"/>
      <c r="K17" s="1"/>
    </row>
    <row r="18" spans="1:12">
      <c r="A18" s="2">
        <v>44933</v>
      </c>
      <c r="B18" s="1">
        <v>2236</v>
      </c>
      <c r="D18" s="3" t="s">
        <v>19</v>
      </c>
      <c r="E18" s="1">
        <v>44</v>
      </c>
      <c r="J18" s="3"/>
      <c r="K18" s="1"/>
    </row>
    <row r="19" spans="1:12">
      <c r="A19" s="2">
        <v>44934</v>
      </c>
      <c r="B19" s="1">
        <v>1054</v>
      </c>
      <c r="D19" s="3" t="s">
        <v>15</v>
      </c>
      <c r="E19" s="1">
        <v>57</v>
      </c>
      <c r="J19" s="3"/>
      <c r="K19" s="1"/>
    </row>
    <row r="20" spans="1:12">
      <c r="A20" s="2">
        <v>44935</v>
      </c>
      <c r="B20" s="1">
        <v>2460</v>
      </c>
      <c r="D20" s="3" t="s">
        <v>0</v>
      </c>
      <c r="E20" s="1">
        <v>200</v>
      </c>
      <c r="J20" s="3"/>
      <c r="K20" s="1"/>
    </row>
    <row r="21" spans="1:12">
      <c r="A21" s="2">
        <v>44936</v>
      </c>
      <c r="B21" s="1">
        <v>1247</v>
      </c>
      <c r="L21" s="10"/>
    </row>
    <row r="22" spans="1:12">
      <c r="A22" s="2">
        <v>44937</v>
      </c>
      <c r="B22" s="1">
        <v>1842</v>
      </c>
    </row>
    <row r="23" spans="1:12">
      <c r="A23" s="2">
        <v>44938</v>
      </c>
      <c r="B23" s="1">
        <v>513</v>
      </c>
      <c r="F23" s="4" t="s">
        <v>14</v>
      </c>
      <c r="G23" t="s">
        <v>13</v>
      </c>
    </row>
    <row r="24" spans="1:12">
      <c r="A24" s="2">
        <v>44939</v>
      </c>
      <c r="B24" s="1">
        <v>2099</v>
      </c>
      <c r="D24" s="4" t="s">
        <v>14</v>
      </c>
      <c r="E24" t="s">
        <v>13</v>
      </c>
      <c r="F24" s="3" t="s">
        <v>12</v>
      </c>
      <c r="G24" s="1">
        <v>24</v>
      </c>
    </row>
    <row r="25" spans="1:12">
      <c r="A25" s="2">
        <v>44940</v>
      </c>
      <c r="B25" s="1">
        <v>1725</v>
      </c>
      <c r="D25" s="3" t="s">
        <v>11</v>
      </c>
      <c r="E25" s="1">
        <v>27</v>
      </c>
      <c r="F25" s="3" t="s">
        <v>10</v>
      </c>
      <c r="G25" s="1">
        <v>33</v>
      </c>
    </row>
    <row r="26" spans="1:12">
      <c r="A26" s="2">
        <v>44941</v>
      </c>
      <c r="B26" s="1">
        <v>1644</v>
      </c>
      <c r="D26" s="3" t="s">
        <v>9</v>
      </c>
      <c r="E26" s="1">
        <v>33</v>
      </c>
      <c r="F26" s="3" t="s">
        <v>8</v>
      </c>
      <c r="G26" s="1">
        <v>37</v>
      </c>
    </row>
    <row r="27" spans="1:12">
      <c r="A27" s="2">
        <v>44942</v>
      </c>
      <c r="B27" s="1">
        <v>1093</v>
      </c>
      <c r="D27" s="3" t="s">
        <v>7</v>
      </c>
      <c r="E27" s="1">
        <v>38</v>
      </c>
      <c r="F27" s="3" t="s">
        <v>6</v>
      </c>
      <c r="G27" s="1">
        <v>33</v>
      </c>
    </row>
    <row r="28" spans="1:12">
      <c r="A28" s="2">
        <v>44943</v>
      </c>
      <c r="B28" s="1">
        <v>2321</v>
      </c>
      <c r="D28" s="3" t="s">
        <v>5</v>
      </c>
      <c r="E28" s="1">
        <v>37</v>
      </c>
      <c r="F28" s="3" t="s">
        <v>4</v>
      </c>
      <c r="G28" s="1">
        <v>34</v>
      </c>
    </row>
    <row r="29" spans="1:12">
      <c r="A29" s="2">
        <v>44944</v>
      </c>
      <c r="B29" s="1">
        <v>2119</v>
      </c>
      <c r="D29" s="3" t="s">
        <v>3</v>
      </c>
      <c r="E29" s="1">
        <v>33</v>
      </c>
      <c r="F29" s="3" t="s">
        <v>2</v>
      </c>
      <c r="G29" s="1">
        <v>39</v>
      </c>
    </row>
    <row r="30" spans="1:12">
      <c r="A30" s="2">
        <v>44945</v>
      </c>
      <c r="B30" s="1">
        <v>1911</v>
      </c>
      <c r="D30" s="3" t="s">
        <v>1</v>
      </c>
      <c r="E30" s="1">
        <v>32</v>
      </c>
      <c r="F30" s="3" t="s">
        <v>0</v>
      </c>
      <c r="G30" s="1">
        <v>200</v>
      </c>
    </row>
    <row r="31" spans="1:12">
      <c r="A31" s="2">
        <v>44946</v>
      </c>
      <c r="B31" s="1">
        <v>945</v>
      </c>
      <c r="D31" s="3" t="s">
        <v>0</v>
      </c>
      <c r="E31" s="1">
        <v>200</v>
      </c>
    </row>
    <row r="32" spans="1:12">
      <c r="A32" s="2">
        <v>44947</v>
      </c>
      <c r="B32" s="1">
        <v>1284</v>
      </c>
    </row>
    <row r="33" spans="1:2">
      <c r="A33" s="2">
        <v>44948</v>
      </c>
      <c r="B33" s="1">
        <v>1391</v>
      </c>
    </row>
    <row r="34" spans="1:2">
      <c r="A34" s="2">
        <v>44949</v>
      </c>
      <c r="B34" s="1">
        <v>199</v>
      </c>
    </row>
    <row r="35" spans="1:2">
      <c r="A35" s="2">
        <v>44950</v>
      </c>
      <c r="B35" s="1">
        <v>1265</v>
      </c>
    </row>
    <row r="36" spans="1:2">
      <c r="A36" s="2">
        <v>44951</v>
      </c>
      <c r="B36" s="1">
        <v>1061</v>
      </c>
    </row>
    <row r="37" spans="1:2">
      <c r="A37" s="2">
        <v>44952</v>
      </c>
      <c r="B37" s="1">
        <v>1990</v>
      </c>
    </row>
    <row r="38" spans="1:2">
      <c r="A38" s="2">
        <v>44953</v>
      </c>
      <c r="B38" s="1">
        <v>218</v>
      </c>
    </row>
    <row r="39" spans="1:2">
      <c r="A39" s="2">
        <v>44954</v>
      </c>
      <c r="B39" s="1">
        <v>2222</v>
      </c>
    </row>
    <row r="40" spans="1:2">
      <c r="A40" s="2">
        <v>44955</v>
      </c>
      <c r="B40" s="1">
        <v>1628</v>
      </c>
    </row>
    <row r="41" spans="1:2">
      <c r="A41" s="2">
        <v>44956</v>
      </c>
      <c r="B41" s="1">
        <v>2259</v>
      </c>
    </row>
    <row r="42" spans="1:2">
      <c r="A42" s="2">
        <v>44957</v>
      </c>
      <c r="B42" s="1">
        <v>877</v>
      </c>
    </row>
    <row r="43" spans="1:2">
      <c r="A43" s="2">
        <v>44958</v>
      </c>
      <c r="B43" s="1">
        <v>1188</v>
      </c>
    </row>
    <row r="44" spans="1:2">
      <c r="A44" s="2">
        <v>44959</v>
      </c>
      <c r="B44" s="1">
        <v>883</v>
      </c>
    </row>
    <row r="45" spans="1:2">
      <c r="A45" s="2">
        <v>44960</v>
      </c>
      <c r="B45" s="1">
        <v>2810</v>
      </c>
    </row>
    <row r="46" spans="1:2">
      <c r="A46" s="2">
        <v>44961</v>
      </c>
      <c r="B46" s="1">
        <v>1462</v>
      </c>
    </row>
    <row r="47" spans="1:2">
      <c r="A47" s="2">
        <v>44962</v>
      </c>
      <c r="B47" s="1">
        <v>1131</v>
      </c>
    </row>
    <row r="48" spans="1:2">
      <c r="A48" s="2">
        <v>44963</v>
      </c>
      <c r="B48" s="1">
        <v>2190</v>
      </c>
    </row>
    <row r="49" spans="1:2">
      <c r="A49" s="2">
        <v>44964</v>
      </c>
      <c r="B49" s="1">
        <v>917</v>
      </c>
    </row>
    <row r="50" spans="1:2">
      <c r="A50" s="2">
        <v>44965</v>
      </c>
      <c r="B50" s="1">
        <v>1572</v>
      </c>
    </row>
    <row r="51" spans="1:2">
      <c r="A51" s="2">
        <v>44966</v>
      </c>
      <c r="B51" s="1">
        <v>1526</v>
      </c>
    </row>
    <row r="52" spans="1:2">
      <c r="A52" s="2">
        <v>44967</v>
      </c>
      <c r="B52" s="1">
        <v>1179</v>
      </c>
    </row>
    <row r="53" spans="1:2">
      <c r="A53" s="2">
        <v>44968</v>
      </c>
      <c r="B53" s="1">
        <v>610</v>
      </c>
    </row>
    <row r="54" spans="1:2">
      <c r="A54" s="2">
        <v>44969</v>
      </c>
      <c r="B54" s="1">
        <v>2935</v>
      </c>
    </row>
    <row r="55" spans="1:2">
      <c r="A55" s="2">
        <v>44970</v>
      </c>
      <c r="B55" s="1">
        <v>1612</v>
      </c>
    </row>
    <row r="56" spans="1:2">
      <c r="A56" s="2">
        <v>44971</v>
      </c>
      <c r="B56" s="1">
        <v>694</v>
      </c>
    </row>
    <row r="57" spans="1:2">
      <c r="A57" s="2">
        <v>44972</v>
      </c>
      <c r="B57" s="1">
        <v>822</v>
      </c>
    </row>
    <row r="58" spans="1:2">
      <c r="A58" s="2">
        <v>44973</v>
      </c>
      <c r="B58" s="1">
        <v>1182</v>
      </c>
    </row>
    <row r="59" spans="1:2">
      <c r="A59" s="2">
        <v>44974</v>
      </c>
      <c r="B59" s="1">
        <v>1255</v>
      </c>
    </row>
    <row r="60" spans="1:2">
      <c r="A60" s="2">
        <v>44975</v>
      </c>
      <c r="B60" s="1">
        <v>887</v>
      </c>
    </row>
    <row r="61" spans="1:2">
      <c r="A61" s="2">
        <v>44976</v>
      </c>
      <c r="B61" s="1">
        <v>1848</v>
      </c>
    </row>
    <row r="62" spans="1:2">
      <c r="A62" s="2">
        <v>44977</v>
      </c>
      <c r="B62" s="1">
        <v>1877</v>
      </c>
    </row>
    <row r="63" spans="1:2">
      <c r="A63" s="2">
        <v>44978</v>
      </c>
      <c r="B63" s="1">
        <v>801</v>
      </c>
    </row>
    <row r="64" spans="1:2">
      <c r="A64" s="2">
        <v>44979</v>
      </c>
      <c r="B64" s="1">
        <v>1288</v>
      </c>
    </row>
    <row r="65" spans="1:2">
      <c r="A65" s="2">
        <v>44980</v>
      </c>
      <c r="B65" s="1">
        <v>1665</v>
      </c>
    </row>
    <row r="66" spans="1:2">
      <c r="A66" s="2">
        <v>44981</v>
      </c>
      <c r="B66" s="1">
        <v>1699</v>
      </c>
    </row>
    <row r="67" spans="1:2">
      <c r="A67" s="2">
        <v>44982</v>
      </c>
      <c r="B67" s="1">
        <v>2740</v>
      </c>
    </row>
    <row r="68" spans="1:2">
      <c r="A68" s="2">
        <v>44983</v>
      </c>
      <c r="B68" s="1">
        <v>1285</v>
      </c>
    </row>
    <row r="69" spans="1:2">
      <c r="A69" s="2">
        <v>44984</v>
      </c>
      <c r="B69" s="1">
        <v>1203</v>
      </c>
    </row>
    <row r="70" spans="1:2">
      <c r="A70" s="2">
        <v>44985</v>
      </c>
      <c r="B70" s="1">
        <v>1166</v>
      </c>
    </row>
    <row r="71" spans="1:2">
      <c r="A71" s="2">
        <v>44986</v>
      </c>
      <c r="B71" s="1">
        <v>2530</v>
      </c>
    </row>
    <row r="72" spans="1:2">
      <c r="A72" s="2">
        <v>44987</v>
      </c>
      <c r="B72" s="1">
        <v>1880</v>
      </c>
    </row>
    <row r="73" spans="1:2">
      <c r="A73" s="2">
        <v>44988</v>
      </c>
      <c r="B73" s="1">
        <v>1102</v>
      </c>
    </row>
    <row r="74" spans="1:2">
      <c r="A74" s="2">
        <v>44989</v>
      </c>
      <c r="B74" s="1">
        <v>808</v>
      </c>
    </row>
    <row r="75" spans="1:2">
      <c r="A75" s="2">
        <v>44990</v>
      </c>
      <c r="B75" s="1">
        <v>2314</v>
      </c>
    </row>
    <row r="76" spans="1:2">
      <c r="A76" s="2">
        <v>44991</v>
      </c>
      <c r="B76" s="1">
        <v>1730</v>
      </c>
    </row>
    <row r="77" spans="1:2">
      <c r="A77" s="2">
        <v>44992</v>
      </c>
      <c r="B77" s="1">
        <v>2434</v>
      </c>
    </row>
    <row r="78" spans="1:2">
      <c r="A78" s="2">
        <v>44993</v>
      </c>
      <c r="B78" s="1">
        <v>1820</v>
      </c>
    </row>
    <row r="79" spans="1:2">
      <c r="A79" s="2">
        <v>44994</v>
      </c>
      <c r="B79" s="1">
        <v>2398</v>
      </c>
    </row>
    <row r="80" spans="1:2">
      <c r="A80" s="2">
        <v>44995</v>
      </c>
      <c r="B80" s="1">
        <v>1433</v>
      </c>
    </row>
    <row r="81" spans="1:2">
      <c r="A81" s="2">
        <v>44996</v>
      </c>
      <c r="B81" s="1">
        <v>2194</v>
      </c>
    </row>
    <row r="82" spans="1:2">
      <c r="A82" s="2">
        <v>44997</v>
      </c>
      <c r="B82" s="1">
        <v>1509</v>
      </c>
    </row>
    <row r="83" spans="1:2">
      <c r="A83" s="2">
        <v>44998</v>
      </c>
      <c r="B83" s="1">
        <v>1935</v>
      </c>
    </row>
    <row r="84" spans="1:2">
      <c r="A84" s="2">
        <v>44999</v>
      </c>
      <c r="B84" s="1">
        <v>2794</v>
      </c>
    </row>
    <row r="85" spans="1:2">
      <c r="A85" s="2">
        <v>45000</v>
      </c>
      <c r="B85" s="1">
        <v>1509</v>
      </c>
    </row>
    <row r="86" spans="1:2">
      <c r="A86" s="2">
        <v>45001</v>
      </c>
      <c r="B86" s="1">
        <v>1521</v>
      </c>
    </row>
    <row r="87" spans="1:2">
      <c r="A87" s="2">
        <v>45002</v>
      </c>
      <c r="B87" s="1">
        <v>1836</v>
      </c>
    </row>
    <row r="88" spans="1:2">
      <c r="A88" s="2">
        <v>45003</v>
      </c>
      <c r="B88" s="1">
        <v>3199</v>
      </c>
    </row>
    <row r="89" spans="1:2">
      <c r="A89" s="2">
        <v>45004</v>
      </c>
      <c r="B89" s="1">
        <v>1066</v>
      </c>
    </row>
    <row r="90" spans="1:2">
      <c r="A90" s="2">
        <v>45005</v>
      </c>
      <c r="B90" s="1">
        <v>2343</v>
      </c>
    </row>
    <row r="91" spans="1:2">
      <c r="A91" s="2">
        <v>45006</v>
      </c>
      <c r="B91" s="1">
        <v>2113</v>
      </c>
    </row>
    <row r="92" spans="1:2">
      <c r="A92" s="2">
        <v>45007</v>
      </c>
      <c r="B92" s="1">
        <v>890</v>
      </c>
    </row>
    <row r="93" spans="1:2">
      <c r="A93" s="2">
        <v>45008</v>
      </c>
      <c r="B93" s="1">
        <v>701</v>
      </c>
    </row>
    <row r="94" spans="1:2">
      <c r="A94" s="2">
        <v>45009</v>
      </c>
      <c r="B94" s="1">
        <v>2143</v>
      </c>
    </row>
    <row r="95" spans="1:2">
      <c r="A95" s="2">
        <v>45010</v>
      </c>
      <c r="B95" s="1">
        <v>1314</v>
      </c>
    </row>
    <row r="96" spans="1:2">
      <c r="A96" s="2">
        <v>45011</v>
      </c>
      <c r="B96" s="1">
        <v>2130</v>
      </c>
    </row>
    <row r="97" spans="1:2">
      <c r="A97" s="2">
        <v>45012</v>
      </c>
      <c r="B97" s="1">
        <v>1068</v>
      </c>
    </row>
    <row r="98" spans="1:2">
      <c r="A98" s="2">
        <v>45013</v>
      </c>
      <c r="B98" s="1">
        <v>1126</v>
      </c>
    </row>
    <row r="99" spans="1:2">
      <c r="A99" s="2">
        <v>45014</v>
      </c>
      <c r="B99" s="1">
        <v>1352</v>
      </c>
    </row>
    <row r="100" spans="1:2">
      <c r="A100" s="2">
        <v>45015</v>
      </c>
      <c r="B100" s="1">
        <v>542</v>
      </c>
    </row>
    <row r="101" spans="1:2">
      <c r="A101" s="2">
        <v>45016</v>
      </c>
      <c r="B101" s="1">
        <v>830</v>
      </c>
    </row>
    <row r="102" spans="1:2">
      <c r="A102" s="2" t="s">
        <v>0</v>
      </c>
      <c r="B102" s="1">
        <v>141181</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I10"/>
  <sheetViews>
    <sheetView showGridLines="0" tabSelected="1" zoomScale="33" zoomScaleNormal="33" workbookViewId="0">
      <selection activeCell="AK32" sqref="AK32"/>
    </sheetView>
  </sheetViews>
  <sheetFormatPr defaultRowHeight="14.5"/>
  <sheetData>
    <row r="10" spans="35:35">
      <c r="AI10" t="s">
        <v>252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Analysis</vt:lpstr>
      <vt:lpstr>Dashboard</vt:lpstr>
      <vt:lpstr>Data!ExternalData_1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2025-11-30T07:31:03Z</cp:lastPrinted>
  <dcterms:created xsi:type="dcterms:W3CDTF">2025-11-30T07:04:33Z</dcterms:created>
  <dcterms:modified xsi:type="dcterms:W3CDTF">2025-12-02T14:26:41Z</dcterms:modified>
</cp:coreProperties>
</file>